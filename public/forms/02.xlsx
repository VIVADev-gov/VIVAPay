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3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xl/comments13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-108" yWindow="-108" windowWidth="23256" windowHeight="12456"/>
  </bookViews>
  <sheets>
    <sheet sheetId="13" name="GFR-FO-17 " state="visible" r:id="rId4"/>
    <sheet sheetId="12" name="Instrucciones" state="visible" r:id="rId5"/>
  </sheets>
  <definedNames>
    <definedName name="_xlnm.Print_Area" localSheetId="0">'GFR-FO-17 '!$A1:$K143</definedName>
    <definedName name="_xlnm.Print_Titles" localSheetId="0">'GFR-FO-17 '!$1:$1</definedName>
    <definedName name="_xlnm.Print_Titles" localSheetId="1">'Instrucciones'!$1:$1</definedName>
  </definedNames>
  <calcPr calcId="171027"/>
</workbook>
</file>

<file path=xl/comments13.xml><?xml version="1.0" encoding="utf-8"?>
<comments xmlns="http://schemas.openxmlformats.org/spreadsheetml/2006/main">
  <authors>
    <author>Author</author>
  </authors>
  <commentList>
    <comment ref="J76" authorId="0">
      <text>
        <r>
          <rPr>
            <color indexed="81"/>
            <family val="2"/>
            <sz val="9"/>
            <rFont val="Tahoma"/>
          </rPr>
          <t xml:space="preserve">Se determina calculando el número de meses previstos en el contrato frente al periodo acumulado de tiempo ejecutado en meses, teniendo en cuenta el cuenta el cumplimiento de las actividades.
</t>
        </r>
      </text>
    </comment>
  </commentList>
</comments>
</file>

<file path=xl/sharedStrings.xml><?xml version="1.0" encoding="utf-8"?>
<sst xmlns="http://schemas.openxmlformats.org/spreadsheetml/2006/main" count="270" uniqueCount="201">
  <si>
    <t xml:space="preserve">INFORME DE EJECUCIÓN CONTRACTUAL
PRESTADORES DE SERVICIOS PERSONALES</t>
  </si>
  <si>
    <t>1. INFORMACION GENERAL E HISTORIAL DEL CONTRATO</t>
  </si>
  <si>
    <t>HONORARIOS</t>
  </si>
  <si>
    <t>DIRECCIÓN DE PROYECTOS</t>
  </si>
  <si>
    <t>SERVICIOS</t>
  </si>
  <si>
    <t>DIRECCIÓN DE VIVIENDA Y HÁBITAT</t>
  </si>
  <si>
    <t>CONTRATISTA:</t>
  </si>
  <si>
    <t>IDENTIFICACIÓN</t>
  </si>
  <si>
    <t>Tipo / Número</t>
  </si>
  <si>
    <t>CC</t>
  </si>
  <si>
    <t>REEMBOLSABLES</t>
  </si>
  <si>
    <t>DIRECCIÓN ADMINISTRATIVA Y FINANCIERA</t>
  </si>
  <si>
    <t>OTROS</t>
  </si>
  <si>
    <t>DIRECCIÓN JURÍDICA</t>
  </si>
  <si>
    <t>No DEL CONTRATO:</t>
  </si>
  <si>
    <t>DEPENDENCIA CONTRATANTE</t>
  </si>
  <si>
    <t>DIRECCIÓN DE PLANEACIÓN</t>
  </si>
  <si>
    <t>DIRECCIÓN DE CONTROL INTERNO</t>
  </si>
  <si>
    <t>NOMBRE SUPERVISOR:</t>
  </si>
  <si>
    <t>TALENTO HUMANO</t>
  </si>
  <si>
    <t>TITULACIÓN</t>
  </si>
  <si>
    <t>OBJETO:</t>
  </si>
  <si>
    <t>COMUNICACIONES</t>
  </si>
  <si>
    <t>UNIDAD DE NEGOCIOS</t>
  </si>
  <si>
    <t>PLAZO MESES</t>
  </si>
  <si>
    <t>FECHA ACTA DE INICIO</t>
  </si>
  <si>
    <t>FECHA FINAL</t>
  </si>
  <si>
    <t>CONCEPTO</t>
  </si>
  <si>
    <t>RUBRO</t>
  </si>
  <si>
    <t>CDP - CERTIFICADO DISPONIBILIDAD PRESUPUESTAL</t>
  </si>
  <si>
    <t>VALOR CDP</t>
  </si>
  <si>
    <t>RPC - REGISTRO PRESUPUESTAL DEL COMPROMISO</t>
  </si>
  <si>
    <t>VALOR RPC</t>
  </si>
  <si>
    <t>VALOR INICIAL DEL CONTRATO</t>
  </si>
  <si>
    <t>INICIAL</t>
  </si>
  <si>
    <t xml:space="preserve">ADICIÓN/
PRÓRROGA/
SUSPENSIÓN</t>
  </si>
  <si>
    <t>FECHA DE EXPEDICIÓN ACTO ADMINISTRATIVO</t>
  </si>
  <si>
    <t>FECHA DE TERMINACIÓN CONTRACTUAL</t>
  </si>
  <si>
    <t>VALOR</t>
  </si>
  <si>
    <t>TOTAL RECURSOS COMPROMETIDOS</t>
  </si>
  <si>
    <t>2. INFORMACION COBRO ACTUAL E HISTORIAL</t>
  </si>
  <si>
    <t>CUENTA No.</t>
  </si>
  <si>
    <t>PERÍODO DE COBRO      DESDE:</t>
  </si>
  <si>
    <t>HASTA:</t>
  </si>
  <si>
    <t>VALOR PAGO EN NÚMEROS</t>
  </si>
  <si>
    <t>VALOR PAGO EN LETRAS</t>
  </si>
  <si>
    <t>CIENTO DOCE MIL DOCIENTOS TREINTA Y CINCO PESOS M/L</t>
  </si>
  <si>
    <t>VALOR IVA INCLUÍDO</t>
  </si>
  <si>
    <t>INFORMACION APORTES AL SISTEMA DE PROTECCION SOCIAL</t>
  </si>
  <si>
    <t>SALUD</t>
  </si>
  <si>
    <t>PENSION</t>
  </si>
  <si>
    <t>ARL</t>
  </si>
  <si>
    <t xml:space="preserve">PLANILLA NRO. </t>
  </si>
  <si>
    <t>INGRESO BASE COTIZACION</t>
  </si>
  <si>
    <t>VR. APORTE</t>
  </si>
  <si>
    <t>% BASE COTIZACIÓN  / VALOR CUENTA</t>
  </si>
  <si>
    <t>% APORTE / IBC</t>
  </si>
  <si>
    <t>CUENTA DE COBRO ACTUAL</t>
  </si>
  <si>
    <t>Disponibilidad presupuestal</t>
  </si>
  <si>
    <t>Registro presupuestal</t>
  </si>
  <si>
    <t>Rubro presupuestal</t>
  </si>
  <si>
    <t>Concepto</t>
  </si>
  <si>
    <t>Centro de costo</t>
  </si>
  <si>
    <t>Valor (IVA Incluído)</t>
  </si>
  <si>
    <t>TOTAL</t>
  </si>
  <si>
    <t>HISTORIAL CUENTAS DE COBRO Y PAGOS</t>
  </si>
  <si>
    <t>Cuenta de Cobro No. /Fecha</t>
  </si>
  <si>
    <t>Fecha de pago</t>
  </si>
  <si>
    <t>Honorarios</t>
  </si>
  <si>
    <t>Gastos Reembolsables</t>
  </si>
  <si>
    <t>Saldo</t>
  </si>
  <si>
    <t>TOTAL CUENTAS DE COBRO</t>
  </si>
  <si>
    <t>VALOR CONTRACTUAL</t>
  </si>
  <si>
    <t>SALDO CONTRACTUAL</t>
  </si>
  <si>
    <t>3. DECLARACIÓN DEL PRESTADOR DE SERVICIOS PERSONALES</t>
  </si>
  <si>
    <r>
      <t xml:space="preserve">Acorde con lo establecido en los numerales 6, 6.1., 6.2. Artículo 1 del </t>
    </r>
    <r>
      <rPr>
        <color rgb="FF000000"/>
        <family val="2"/>
        <sz val="11"/>
        <rFont val="Arial"/>
      </rPr>
      <t xml:space="preserve">Decreto 1808 del 7 de Octubre de 2019, </t>
    </r>
    <r>
      <rPr>
        <color indexed="8"/>
        <family val="2"/>
        <sz val="11"/>
        <rFont val="Arial"/>
      </rPr>
      <t>la personas naturales deben manifestar por escrito en la factura o documento equivalente (para los no obligados a facturar) lo siguiente: Manifiesto bajo gravedad de juramento que: Para efectos de la aplicación de la tabla de retención en la fuente establecida en el artículo 383 del Estatuto Tributario, la cual se le aplica a los pagos o abonos en cuenta por concepto de ingresos por honorarios y por compensación por servicios personales, “He contratado o vinculado más de un trabajador asociado a mi actividad económica por al menos noventa (90) días continuos o discontinuos”. (Parágrafo 2 art.383 E.T.).</t>
    </r>
  </si>
  <si>
    <t>SI (  )</t>
  </si>
  <si>
    <t>NO (  X)</t>
  </si>
  <si>
    <t>En el momento en que contrate o vincule más de un trabajador asociado a mi actividad económica, me comprometo a informar.</t>
  </si>
  <si>
    <t>Declaro bajo la gravedad de juramento que a la fecha de presentación de este documento, mi RUT se encuentra actualizado.</t>
  </si>
  <si>
    <t>SI ( X )</t>
  </si>
  <si>
    <t>NO (  )</t>
  </si>
  <si>
    <t>Lo suministraré a VIVA cuando se realicen cambios, en atención a requerimiento legal o información general del contribuyente.</t>
  </si>
  <si>
    <t>4. CUMPLIMIENTO DE LAS OBLIGACIONES Y/O ACTIVIDADES DE LAS PARTES</t>
  </si>
  <si>
    <t>PORCENTAJE DE EJECUCIÓN FINANCIERA</t>
  </si>
  <si>
    <t>PORCENTAJE DE EJECUCIÓN FÍSICA</t>
  </si>
  <si>
    <t>ACTIVIDAD</t>
  </si>
  <si>
    <t>ACCIONES</t>
  </si>
  <si>
    <t>SOPORTE</t>
  </si>
  <si>
    <t>% EJECUCIÓN</t>
  </si>
  <si>
    <t>NOTA ACLARATORIA:</t>
  </si>
  <si>
    <t>5. FIRMAS</t>
  </si>
  <si>
    <t>Con mi firma avalo el contenido total de este documento.</t>
  </si>
  <si>
    <t>Firma contratista</t>
  </si>
  <si>
    <t>C.C</t>
  </si>
  <si>
    <t>El suscrito supervisor hace constar que el contratista ha prestado a satisfacción sus servicios durante el periodo mencionado, dando así cumplimiento al contrato</t>
  </si>
  <si>
    <t>Certifico que he recibido el correspondiente informe</t>
  </si>
  <si>
    <t>Parcial</t>
  </si>
  <si>
    <r>
      <rPr>
        <b/>
        <family val="2"/>
        <sz val="11"/>
        <rFont val="Arial"/>
      </rPr>
      <t>VERIFICACION DE PAGOS DE SEGURIDAD SOCIAL Y APORTES DE PARAFISCALES</t>
    </r>
    <r>
      <rPr>
        <family val="2"/>
        <sz val="11"/>
        <rFont val="Arial"/>
      </rPr>
      <t>: El suscrito supervisor certifica que el contratista/prestador de servicios personales presenta los documentos que acreditan que se encuentra a paz y salvo por concepto  del pago de aportes a los sistemas de seguridad social en salud, pensiones, ARL y parafiscales, de él (y de sus empleados, según el caso), de conformidad con lo dispuesto en el artículo 50 de la ley 789 de 2002 y el artículo 23 de la ley 1150 de 2007.</t>
    </r>
  </si>
  <si>
    <t>En consecuencia, se autoriza el pago de la presente cuenta.</t>
  </si>
  <si>
    <t>Firma Supervisor</t>
  </si>
  <si>
    <t>Fecha de expedición</t>
  </si>
  <si>
    <t>C.C.</t>
  </si>
  <si>
    <t xml:space="preserve">“La Empresa de Vivienda de Antioquia -VIVA, en cumplimiento de lo previsto por la Ley 1581 de 2012, sus decretos reglamentarios y demás normas concordantes, es el responsable del tratamiento de los datos personales, por lo anterior con el diligenciamiento del presente formato, de manera voluntaria, previa, explícita, informada e inequívoca, se autoriza a la Empresa VIVA, para tratar los datos personales consignados de acuerdo con la Política de Tratamiento de Datos Personales de la Empresa -VIVA, los cuales serán tratados con la finalidad de llevar a cabo acciones relacionadas con el objeto social y actividades conexas de la Empresa. La Empresa de Vivienda de Antioquia -VIVA, reconoce que quien registra los datos tendrá derecho a conocer, actualizar y rectificar los datos personales y en los casos en que sea procedente a suprimirlos o revocar la autorización otorgada. La Política de Tratamiento de Datos Personales de la Empresa de Vivienda de Antioquia -VIVA podrá ser consultados en nuestra sede ubicada en la carrera 43ª No 34-95 Centro Comercial Almacentro, torre sur, piso 10, Medellín, Antioquia y en nuestra página Web https://viva.gov.co/” 
</t>
  </si>
  <si>
    <t>Codigo:GFR-FO-17                                Version: 05</t>
  </si>
  <si>
    <t>Gerente General</t>
  </si>
  <si>
    <t>Secretaría General</t>
  </si>
  <si>
    <t>Final</t>
  </si>
  <si>
    <t>Gerente Auxiliar de Proyectos Urbanos</t>
  </si>
  <si>
    <t>Gerente Auxiliar de Vivienda y Habitat</t>
  </si>
  <si>
    <t>Gerente Auxiliar Administrativo y Financiero</t>
  </si>
  <si>
    <t>Coordinador de Control Interno</t>
  </si>
  <si>
    <t>Gerente Auxiliar de Contratación</t>
  </si>
  <si>
    <t>Gerente Auxiliar de Gestion Urbana e Inmobiliaria</t>
  </si>
  <si>
    <t>Gerente Auxiliar de Proyectos Urbanos Integrales</t>
  </si>
  <si>
    <t>Director de  Comunicaciones</t>
  </si>
  <si>
    <t>Director de  Gestión Social</t>
  </si>
  <si>
    <t>Director de Taller de Diseño</t>
  </si>
  <si>
    <t xml:space="preserve">INSTRUCCIONES PARA DILIGENCIAR EL FORMATO </t>
  </si>
  <si>
    <t>Nombre o razón social.</t>
  </si>
  <si>
    <t xml:space="preserve">IDENTIFICACIÓN </t>
  </si>
  <si>
    <t>Tipo/Número:</t>
  </si>
  <si>
    <t>Seleccione el tipo de documento de identificación (CC, CE, NIT) y registre el número.</t>
  </si>
  <si>
    <t>Número contrato objeto del cobro.</t>
  </si>
  <si>
    <t>Seleccione el nombre del área contratante que se encuentra en el contrato.</t>
  </si>
  <si>
    <t>Escribir el objeto consignado en el contrato.</t>
  </si>
  <si>
    <t>Indique el plazo en meses  pactado en el contrato inicial (En números). Si el plazo es en días poner el plazo en meses y seguido de esto después de la coma los días. Ejemplo 11,5</t>
  </si>
  <si>
    <t>Es la fecha del acta de inicio de contrato - tener presente que puede ser diferente a la fecha del contrato -</t>
  </si>
  <si>
    <t>Registre la fecha final - plazo - pactada en el contrato.</t>
  </si>
  <si>
    <t>Seleccione el concepto por separado cuando el valor corresponda a honorarios o servicios o reembolsables (si aplica) u otros.</t>
  </si>
  <si>
    <t>Código registrado en el contrato.</t>
  </si>
  <si>
    <t>Número y fecha de expedición de la disponibilidad presupuestal que se encuentra registrado en el contrato.</t>
  </si>
  <si>
    <t>Regitre el valor del CDP</t>
  </si>
  <si>
    <t>Número y fecha de expedición del compromiso presupuestal que se encuentra registrado en el contrato.</t>
  </si>
  <si>
    <t>Registre el valor del RPC</t>
  </si>
  <si>
    <t>Valor inicialmente pactado en el contrato</t>
  </si>
  <si>
    <t>ADICIÓN/PRÓRROGA/SUSPENSIÓN</t>
  </si>
  <si>
    <t>En caso de presentarse una adición, prórroga o suspensión diligencie la información correspondiente para cada una de las modificaciones.</t>
  </si>
  <si>
    <t>Indique el plazo en meses indicado en la prórroga.</t>
  </si>
  <si>
    <t>FECHA DE EXPEDICIÓN DEL ACTO ADMINISTRATIVO</t>
  </si>
  <si>
    <t>Acto administrativo de modificación de la adición, prórroga o suspensión, según el caso.</t>
  </si>
  <si>
    <t>Registre la fecha de finalización del contrato incluyendo la prórroga o la suspensión.</t>
  </si>
  <si>
    <t>Código registrado en el acto administrativo de adición.</t>
  </si>
  <si>
    <t>CDP - CERTIFICADO DISPONIBILIDAD PRESUPESTAL</t>
  </si>
  <si>
    <t>Número y fecha de expedición de la disponibilidad presupuestal que respalda la adición.</t>
  </si>
  <si>
    <t>Número y fecha de expedición del compromiso presupuestal que respalda la adición.</t>
  </si>
  <si>
    <t>VALOR RCP</t>
  </si>
  <si>
    <t>Registre el valor del RCP</t>
  </si>
  <si>
    <t>Valor total del contrato incluyendo adiciones.</t>
  </si>
  <si>
    <t>No diligencie, es la sumatoria de los rubros que conforman el valor del contrato, incluyendo las adiciones.</t>
  </si>
  <si>
    <t>Número consecutivo de cuenta de cobro. Utilice un solo consecutivo por contrato.</t>
  </si>
  <si>
    <t>PERÍODO DE COBRO</t>
  </si>
  <si>
    <t>DESDE:</t>
  </si>
  <si>
    <t>Seleccione de la lista de opciones, la fecha inicial del período de cobro objeto de esta cuenta o la fecha de acta de inicio.</t>
  </si>
  <si>
    <t>Seleccione de la lista de opciones,fecha de acta final o 30 de cada mes, excepto febrero en cuyo caso se registra 28.</t>
  </si>
  <si>
    <t>VALOR PAGO:</t>
  </si>
  <si>
    <t>Valor de esta cuenta de cobro incluído el IVA en letras y números. Debe coincidir con el valor total de la relación de conceptos cobrados.</t>
  </si>
  <si>
    <t>Es el número de la planilla que se genera para el pago de aportes SALUD, PENSIÓN y ARL para el mes objeto del cobro.</t>
  </si>
  <si>
    <t>Registre el valor IBC con el cual se realizó el pago de los aportes SALUD, PENSIÓN y ARL para el mes objeto del cobro.</t>
  </si>
  <si>
    <t>VALOR APORTE</t>
  </si>
  <si>
    <t>Registre el valor del aporte pagado por los aportes a SALUD, PENSIÓN y ARL para el mes objeto del cobro.</t>
  </si>
  <si>
    <t>Calcula el % con base en el cual se pagaron los aportes al sistema de protección social. INGRESO BASE COTIZACIÓN / VALOR CUENTA</t>
  </si>
  <si>
    <t>Calcula el % de los aportes pagados al sistema de protección social. VALOR APORTE / INGRESO BASE COTIZACIÓN</t>
  </si>
  <si>
    <t xml:space="preserve">Número y fecha de expedición de la disponibilidad presupuestal (una celda para cada una). 
Debe estar separado el valor que corresponda a honorarios o servicios y el valor que corresponda a reembolsables (si aplica).</t>
  </si>
  <si>
    <t>Número y fecha de expedición de el Registro Presupuestal de Compromiso (una celda para cada uno).Debe estar separado el valor que corresponda a honorarios o servicios y el valor que corresponda a reembolsables (si aplica).</t>
  </si>
  <si>
    <t>Registre el código del rubro presupuestal que corresponde a cada concepto cobrado y que se encuentra en la Disponibilidad presupuestal o en el registro presupuestal.</t>
  </si>
  <si>
    <t>Registre el código y nombre del centro de costo en el que se registrará esta cuenta por cada rubro presupuestal. Si lo desconoce, contacte a su supervisor o apoyo financiero.</t>
  </si>
  <si>
    <t>Valor  (IVA Incluído)</t>
  </si>
  <si>
    <t>Registre el valor objeto del cobro correspondiente al concepto de cada línea.  Si esta relación contiene varios conceptos; Honorarios o Servicios y el valor que corresponda a reembolsables si aplica. el valor total debe coincidir con el valor total de la cuenta. Para los responsables de facturar este valor debe incluir IVA.</t>
  </si>
  <si>
    <t>Relacione el(los) número(s) de informe de ejecución contractual/cuenta que se ha(n) entregado y la fecha de expedición de cada uno</t>
  </si>
  <si>
    <t>Escriba la fecha en la que se recibió el pago de la cuenta/informe en relación</t>
  </si>
  <si>
    <t>Escriba el valor de los honorarios en frente de cada informe de ejecución contractual que haya cobrado.</t>
  </si>
  <si>
    <t>Gastos reembolsables</t>
  </si>
  <si>
    <t>Escriba el valor de los gastos reembolsables en frente de cada informe de ejecución contractual que haya cobrado.</t>
  </si>
  <si>
    <t>Escriba el valor total de la cuenta que se ha entregado incluído el IVA y todos los conceptos</t>
  </si>
  <si>
    <t>NO DILIGENCIE, es la sumatoria de los rubros que conforman el valor del contrato, incluyendo las adiciones menos el valro total de cada informe de ejecución contractual/cuenta</t>
  </si>
  <si>
    <t>Es la suma de los valores de las columnas Honorarios, Gastos reembolsables, Valor (IVA incluído) de los informes de ejecución contractual que hayan cobrado.</t>
  </si>
  <si>
    <t>Es el valor del contrato por cada rubro/concepto más o menos las modificaciones al valor del contrato.</t>
  </si>
  <si>
    <t>Resta del VALOR CONTRACTUAL el valor TOTAL CUENTAS DE COBRO para visualizar el saldo del valor del contrato con respecto a los cobros ya realizados.</t>
  </si>
  <si>
    <t>3.1.</t>
  </si>
  <si>
    <t>Lea detenidamente la declaración y señale son X SI ó NO según sea su declaración</t>
  </si>
  <si>
    <t>PORCENTAJE EJECUCIÓN FINANCIERA</t>
  </si>
  <si>
    <r>
      <t>Registre el % calculandolo así: El valor de pagos realizados efectivamente</t>
    </r>
    <r>
      <rPr>
        <b/>
        <family val="2"/>
        <sz val="10"/>
        <rFont val="Arial"/>
      </rPr>
      <t xml:space="preserve"> /</t>
    </r>
    <r>
      <rPr>
        <family val="2"/>
        <sz val="10"/>
        <rFont val="Arial"/>
      </rPr>
      <t xml:space="preserve"> (dividido) el valor total del contrato, incluídas las adiciones, (no incluye cobro del mes actual). </t>
    </r>
  </si>
  <si>
    <t>PORCENTAJE EJECUCIÓN FÍSICA</t>
  </si>
  <si>
    <t>Se determina calculando el número de meses previstos en el contrato frente al periodo acumulado de tiempo ejecutado en meses, teniendo en cuenta el cuenta el cumplimiento de las actividades.</t>
  </si>
  <si>
    <t>Señale la actividad objeto del informe, en virtud de las especificaciones técnicas de su contrato.</t>
  </si>
  <si>
    <t>Registre las acciones realizadas relacionadas con las actividades.</t>
  </si>
  <si>
    <t>Indique cual es el soporte que ha suministrado o que se encuentra disponible como evidencia de la realización de las actividades y acciones. El link o la carpeta comprimida, onedrive-VIVA</t>
  </si>
  <si>
    <t>Registre el % de avance para cada actividad -acción.</t>
  </si>
  <si>
    <t>NOTA ACLARATORIA</t>
  </si>
  <si>
    <t>Se registra explicación si hay lugar  por cualquier concepto relacionado con el formulario diligenciado. Escriba el link/vínculo/ruta donde ha publicado los soportes de las actividades realizadas.</t>
  </si>
  <si>
    <t>Firma y cédula contratista</t>
  </si>
  <si>
    <t>Firme una vez haya diligenciado la totalidad de la información.</t>
  </si>
  <si>
    <t>Seleccione el tipo de informe Parcial o Final.</t>
  </si>
  <si>
    <t>Firma y cédula Supervisor</t>
  </si>
  <si>
    <t>Firme una vez haya verificado la información, aceptado su contenido y consecuentemente aprueba el pago.</t>
  </si>
  <si>
    <t>Seleccione la fecha de la lista de opciones, esta fecha es el último día del mes o fecha del acta de terminación cuando esta sea diferente.</t>
  </si>
  <si>
    <t>IMPORTANTE</t>
  </si>
  <si>
    <t>Tenga en cuenta que si se trata de un informe final, debe anexar la respectiva Acta de Recibo Final.</t>
  </si>
  <si>
    <t>Solo debe firmar quien, expresamente, haya sido designado como supervisor en el contrato, o quien este designe para aprobar las facturas.</t>
  </si>
  <si>
    <t>Cuando el pago esté asociado a varios rubros presupuestales y/o centros de costos debe estar debidamente discriminado el valor a afectar por cada uno.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</si>
</sst>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9">
    <numFmt numFmtId="164" formatCode="_(&quot;$&quot; * #,##0_);_(&quot;$&quot; * (#,##0);_(&quot;$&quot; * &quot;-&quot;??_);_(@_)"/>
    <numFmt numFmtId="165" formatCode="_(&quot;$&quot; * #,##0.00_);_(&quot;$&quot; * (#,##0.00);_(&quot;$&quot; * &quot;-&quot;??_);_(@_)"/>
    <numFmt numFmtId="166" formatCode="_-* #,##0.00_-;-* #,##0.00_-;_-* &quot;-&quot;??_-;_-@_-"/>
    <numFmt numFmtId="167" formatCode="[$-240A]d&quot; de &quot;mmmm&quot; de &quot;yyyy;@"/>
    <numFmt numFmtId="168" formatCode="&quot;$&quot; #,##0"/>
    <numFmt numFmtId="169" formatCode="_-&quot;$&quot; * #,##0_-;-&quot;$&quot; * #,##0_-;_-&quot;$&quot; * &quot;-&quot;??_-;_-@_-"/>
    <numFmt numFmtId="170" formatCode="0.0%"/>
    <numFmt numFmtId="171" formatCode="0.000%"/>
    <numFmt numFmtId="172" formatCode="&quot;$&quot;#,##0"/>
  </numFmts>
  <fonts count="22" x14ac:knownFonts="1">
    <font>
      <color theme="1"/>
      <family val="2"/>
      <scheme val="minor"/>
      <sz val="11"/>
      <name val="Calibri"/>
    </font>
    <font>
      <family val="2"/>
      <sz val="10"/>
      <name val="Arial"/>
    </font>
    <font>
      <b/>
      <family val="2"/>
      <sz val="12"/>
      <name val="Arial"/>
    </font>
    <font>
      <b/>
      <color theme="0"/>
      <family val="2"/>
      <sz val="11"/>
      <name val="Arial"/>
    </font>
    <font>
      <b/>
      <family val="2"/>
      <sz val="11"/>
      <name val="Arial"/>
    </font>
    <font>
      <family val="2"/>
      <sz val="11"/>
      <name val="Arial"/>
    </font>
    <font>
      <b/>
      <color indexed="8"/>
      <family val="2"/>
      <sz val="11"/>
      <name val="Arial"/>
    </font>
    <font>
      <color indexed="8"/>
      <family val="2"/>
      <sz val="11"/>
      <name val="Arial"/>
    </font>
    <font>
      <b/>
      <family val="2"/>
      <sz val="10"/>
      <name val="Arial"/>
    </font>
    <font>
      <family val="2"/>
      <sz val="12"/>
      <name val="Arial"/>
    </font>
    <font>
      <b/>
      <color rgb="FF000000"/>
      <family val="2"/>
      <sz val="11"/>
      <name val="Arial"/>
    </font>
    <font>
      <color rgb="FF000000"/>
      <family val="2"/>
      <sz val="11"/>
      <name val="Arial"/>
    </font>
    <font>
      <color theme="1"/>
      <family val="2"/>
      <sz val="10"/>
      <name val="Arial"/>
    </font>
    <font>
      <color theme="1"/>
      <family val="2"/>
      <sz val="11"/>
      <name val="Arial"/>
    </font>
    <font>
      <u/>
      <color theme="10"/>
      <sz val="10"/>
      <name val="Arial"/>
    </font>
    <font>
      <color indexed="9"/>
      <family val="2"/>
      <sz val="10"/>
      <name val="Arial"/>
    </font>
    <font>
      <b/>
      <color theme="1"/>
      <family val="2"/>
      <sz val="11"/>
      <name val="Arial"/>
    </font>
    <font>
      <b/>
      <color theme="0"/>
      <family val="2"/>
      <sz val="12"/>
      <name val="Arial"/>
    </font>
    <font>
      <color indexed="8"/>
      <family val="2"/>
      <sz val="10"/>
      <name val="Arial"/>
    </font>
    <font>
      <b/>
      <i/>
      <color indexed="8"/>
      <family val="2"/>
      <sz val="10"/>
      <name val="Arial"/>
    </font>
    <font>
      <b/>
      <i/>
      <family val="2"/>
      <sz val="10"/>
      <name val="Arial"/>
    </font>
    <font>
      <b/>
      <color indexed="8"/>
      <family val="2"/>
      <sz val="10"/>
      <name val="Arial"/>
    </font>
  </fonts>
  <fills count="9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theme="0" tint="-0.249977111117893"/>
        <bgColor indexed="64"/>
      </patternFill>
    </fill>
  </fills>
  <borders count="24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338">
    <xf numFmtId="0" fontId="0" fillId="0" borderId="0" xfId="0"/>
    <xf numFmtId="0" fontId="1" fillId="0" borderId="0" xfId="0" applyFont="1"/>
    <xf numFmtId="164" fontId="1" fillId="0" borderId="0" xfId="0" applyNumberFormat="1" applyFont="1"/>
    <xf numFmtId="0" fontId="2" fillId="2" borderId="1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1" fillId="0" borderId="0" xfId="0" applyFont="1" applyAlignment="1">
      <alignment vertical="center"/>
    </xf>
    <xf numFmtId="0" fontId="3" fillId="3" borderId="4" xfId="0" applyFont="1" applyFill="1" applyBorder="1" applyAlignment="1">
      <alignment horizontal="center" vertical="center"/>
    </xf>
    <xf numFmtId="0" fontId="4" fillId="2" borderId="1" xfId="0" applyFont="1" applyFill="1" applyBorder="1"/>
    <xf numFmtId="0" fontId="4" fillId="2" borderId="2" xfId="0" applyFont="1" applyFill="1" applyBorder="1"/>
    <xf numFmtId="0" fontId="5" fillId="2" borderId="2" xfId="0" applyFont="1" applyFill="1" applyBorder="1"/>
    <xf numFmtId="0" fontId="5" fillId="2" borderId="3" xfId="0" applyFont="1" applyFill="1" applyBorder="1"/>
    <xf numFmtId="0" fontId="6" fillId="4" borderId="5" xfId="0" applyFont="1" applyFill="1" applyBorder="1" applyAlignment="1">
      <alignment horizontal="left"/>
    </xf>
    <xf numFmtId="0" fontId="6" fillId="4" borderId="0" xfId="0" applyFont="1" applyFill="1" applyAlignment="1">
      <alignment horizontal="left"/>
    </xf>
    <xf numFmtId="0" fontId="6" fillId="5" borderId="6" xfId="0" applyFont="1" applyFill="1" applyBorder="1" applyAlignment="1" applyProtection="1">
      <alignment horizontal="center"/>
      <protection locked="0"/>
    </xf>
    <xf numFmtId="0" fontId="6" fillId="5" borderId="7" xfId="0" applyFont="1" applyFill="1" applyBorder="1" applyAlignment="1" applyProtection="1">
      <alignment horizontal="center"/>
      <protection locked="0"/>
    </xf>
    <xf numFmtId="0" fontId="6" fillId="4" borderId="0" xfId="0" applyFont="1" applyFill="1" applyAlignment="1">
      <alignment horizontal="center"/>
    </xf>
    <xf numFmtId="0" fontId="5" fillId="0" borderId="0" xfId="0" applyFont="1"/>
    <xf numFmtId="0" fontId="4" fillId="0" borderId="0" xfId="0" applyFont="1" applyAlignment="1">
      <alignment horizontal="center"/>
    </xf>
    <xf numFmtId="0" fontId="5" fillId="0" borderId="8" xfId="0" applyFont="1" applyBorder="1"/>
    <xf numFmtId="0" fontId="6" fillId="0" borderId="0" xfId="0" applyFont="1" applyAlignment="1" applyProtection="1">
      <alignment horizontal="center"/>
      <protection locked="0"/>
    </xf>
    <xf numFmtId="17" fontId="6" fillId="5" borderId="6" xfId="0" applyNumberFormat="1" applyFont="1" applyFill="1" applyBorder="1" applyAlignment="1" applyProtection="1">
      <alignment horizontal="center"/>
      <protection locked="0"/>
    </xf>
    <xf numFmtId="17" fontId="6" fillId="5" borderId="7" xfId="0" applyNumberFormat="1" applyFont="1" applyFill="1" applyBorder="1" applyAlignment="1" applyProtection="1">
      <alignment horizontal="center"/>
      <protection locked="0"/>
    </xf>
    <xf numFmtId="0" fontId="4" fillId="4" borderId="5" xfId="0" applyFont="1" applyFill="1" applyBorder="1" applyAlignment="1">
      <alignment horizontal="center" vertical="center" wrapText="1"/>
    </xf>
    <xf numFmtId="0" fontId="4" fillId="4" borderId="0" xfId="0" applyFont="1" applyFill="1" applyAlignment="1">
      <alignment horizontal="center" vertical="center" wrapText="1"/>
    </xf>
    <xf numFmtId="17" fontId="6" fillId="5" borderId="4" xfId="0" applyNumberFormat="1" applyFont="1" applyFill="1" applyBorder="1" applyAlignment="1" applyProtection="1">
      <alignment horizontal="center"/>
      <protection locked="0"/>
    </xf>
    <xf numFmtId="0" fontId="5" fillId="0" borderId="5" xfId="0" applyFont="1" applyBorder="1"/>
    <xf numFmtId="0" fontId="6" fillId="0" borderId="8" xfId="0" applyFont="1" applyBorder="1" applyAlignment="1" applyProtection="1">
      <alignment horizontal="center"/>
      <protection locked="0"/>
    </xf>
    <xf numFmtId="0" fontId="4" fillId="0" borderId="5" xfId="0" applyFont="1" applyBorder="1"/>
    <xf numFmtId="0" fontId="5" fillId="5" borderId="6" xfId="0" applyFont="1" applyFill="1" applyBorder="1" applyAlignment="1">
      <alignment horizontal="center"/>
    </xf>
    <xf numFmtId="0" fontId="5" fillId="5" borderId="9" xfId="0" applyFont="1" applyFill="1" applyBorder="1" applyAlignment="1">
      <alignment horizontal="center"/>
    </xf>
    <xf numFmtId="0" fontId="5" fillId="5" borderId="7" xfId="0" applyFont="1" applyFill="1" applyBorder="1" applyAlignment="1">
      <alignment horizontal="center"/>
    </xf>
    <xf numFmtId="0" fontId="7" fillId="4" borderId="10" xfId="0" applyFont="1" applyFill="1" applyBorder="1" applyAlignment="1">
      <alignment horizontal="left"/>
    </xf>
    <xf numFmtId="0" fontId="7" fillId="4" borderId="0" xfId="0" applyFont="1" applyFill="1" applyAlignment="1">
      <alignment horizontal="left"/>
    </xf>
    <xf numFmtId="0" fontId="7" fillId="4" borderId="0" xfId="0" applyFont="1" applyFill="1"/>
    <xf numFmtId="0" fontId="5" fillId="4" borderId="0" xfId="0" applyFont="1" applyFill="1" applyAlignment="1">
      <alignment horizontal="center" vertical="center" wrapText="1"/>
    </xf>
    <xf numFmtId="0" fontId="5" fillId="2" borderId="0" xfId="0" applyFont="1" applyFill="1"/>
    <xf numFmtId="0" fontId="5" fillId="2" borderId="8" xfId="0" applyFont="1" applyFill="1" applyBorder="1"/>
    <xf numFmtId="0" fontId="6" fillId="4" borderId="11" xfId="0" applyFont="1" applyFill="1" applyBorder="1" applyAlignment="1">
      <alignment horizontal="center" vertical="center"/>
    </xf>
    <xf numFmtId="0" fontId="7" fillId="6" borderId="1" xfId="0" applyFont="1" applyFill="1" applyBorder="1" applyAlignment="1" applyProtection="1">
      <alignment horizontal="center" vertical="top" wrapText="1"/>
      <protection locked="0"/>
    </xf>
    <xf numFmtId="0" fontId="7" fillId="6" borderId="2" xfId="0" applyFont="1" applyFill="1" applyBorder="1" applyAlignment="1" applyProtection="1">
      <alignment horizontal="center" vertical="top"/>
      <protection locked="0"/>
    </xf>
    <xf numFmtId="0" fontId="7" fillId="6" borderId="3" xfId="0" applyFont="1" applyFill="1" applyBorder="1" applyAlignment="1" applyProtection="1">
      <alignment horizontal="center" vertical="top"/>
      <protection locked="0"/>
    </xf>
    <xf numFmtId="165" fontId="1" fillId="0" borderId="0" xfId="0" applyNumberFormat="1" applyFont="1"/>
    <xf numFmtId="0" fontId="6" fillId="4" borderId="12" xfId="0" applyFont="1" applyFill="1" applyBorder="1" applyAlignment="1">
      <alignment horizontal="center" vertical="center"/>
    </xf>
    <xf numFmtId="0" fontId="7" fillId="6" borderId="5" xfId="0" applyFont="1" applyFill="1" applyBorder="1" applyAlignment="1" applyProtection="1">
      <alignment horizontal="center" vertical="top"/>
      <protection locked="0"/>
    </xf>
    <xf numFmtId="0" fontId="7" fillId="6" borderId="0" xfId="0" applyFont="1" applyFill="1" applyAlignment="1" applyProtection="1">
      <alignment horizontal="center" vertical="top"/>
      <protection locked="0"/>
    </xf>
    <xf numFmtId="0" fontId="7" fillId="6" borderId="8" xfId="0" applyFont="1" applyFill="1" applyBorder="1" applyAlignment="1" applyProtection="1">
      <alignment horizontal="center" vertical="top"/>
      <protection locked="0"/>
    </xf>
    <xf numFmtId="0" fontId="6" fillId="4" borderId="13" xfId="0" applyFont="1" applyFill="1" applyBorder="1" applyAlignment="1">
      <alignment horizontal="center" vertical="center"/>
    </xf>
    <xf numFmtId="0" fontId="8" fillId="0" borderId="0" xfId="0" applyFont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wrapText="1"/>
    </xf>
    <xf numFmtId="0" fontId="8" fillId="0" borderId="0" xfId="0" applyFont="1" applyAlignment="1">
      <alignment horizontal="left" vertical="top"/>
    </xf>
    <xf numFmtId="164" fontId="8" fillId="0" borderId="0" xfId="0" applyNumberFormat="1" applyFont="1" applyAlignment="1">
      <alignment horizontal="center" vertical="center" wrapText="1"/>
    </xf>
    <xf numFmtId="0" fontId="8" fillId="0" borderId="0" xfId="0" applyFont="1"/>
    <xf numFmtId="0" fontId="4" fillId="0" borderId="12" xfId="0" applyFont="1" applyBorder="1" applyAlignment="1">
      <alignment horizontal="left" vertical="center"/>
    </xf>
    <xf numFmtId="166" fontId="4" fillId="6" borderId="11" xfId="0" applyNumberFormat="1" applyFont="1" applyFill="1" applyBorder="1" applyAlignment="1">
      <alignment horizontal="center" vertical="center" wrapText="1"/>
    </xf>
    <xf numFmtId="167" fontId="4" fillId="7" borderId="11" xfId="0" applyNumberFormat="1" applyFont="1" applyFill="1" applyBorder="1" applyAlignment="1" applyProtection="1">
      <alignment horizontal="center" vertical="center" wrapText="1"/>
      <protection locked="0"/>
    </xf>
    <xf numFmtId="0" fontId="4" fillId="7" borderId="4" xfId="0" applyFont="1" applyFill="1" applyBorder="1" applyAlignment="1">
      <alignment horizontal="center" vertical="center" wrapText="1"/>
    </xf>
    <xf numFmtId="0" fontId="4" fillId="6" borderId="4" xfId="0" applyFont="1" applyFill="1" applyBorder="1" applyAlignment="1">
      <alignment horizontal="center" vertical="center" wrapText="1"/>
    </xf>
    <xf numFmtId="164" fontId="6" fillId="6" borderId="4" xfId="0" applyNumberFormat="1" applyFont="1" applyFill="1" applyBorder="1" applyAlignment="1" applyProtection="1">
      <alignment horizontal="center" vertical="center" wrapText="1"/>
      <protection locked="0"/>
    </xf>
    <xf numFmtId="164" fontId="8" fillId="0" borderId="0" xfId="0" applyNumberFormat="1" applyFont="1"/>
    <xf numFmtId="166" fontId="4" fillId="6" borderId="13" xfId="0" applyNumberFormat="1" applyFont="1" applyFill="1" applyBorder="1" applyAlignment="1">
      <alignment horizontal="center" vertical="center" wrapText="1"/>
    </xf>
    <xf numFmtId="167" fontId="4" fillId="7" borderId="13" xfId="0" applyNumberFormat="1" applyFont="1" applyFill="1" applyBorder="1" applyAlignment="1" applyProtection="1">
      <alignment horizontal="center" vertical="center" wrapText="1"/>
      <protection locked="0"/>
    </xf>
    <xf numFmtId="0" fontId="4" fillId="0" borderId="5" xfId="0" applyFont="1" applyBorder="1" applyAlignment="1">
      <alignment vertical="center" wrapText="1"/>
    </xf>
    <xf numFmtId="0" fontId="4" fillId="0" borderId="0" xfId="0" applyFont="1" applyAlignment="1">
      <alignment horizontal="center" vertical="center" wrapText="1"/>
    </xf>
    <xf numFmtId="0" fontId="4" fillId="0" borderId="8" xfId="0" applyFont="1" applyBorder="1" applyAlignment="1">
      <alignment horizontal="center" vertical="center" wrapText="1"/>
    </xf>
    <xf numFmtId="0" fontId="5" fillId="0" borderId="5" xfId="0" applyFont="1" applyBorder="1" applyAlignment="1">
      <alignment horizontal="center"/>
    </xf>
    <xf numFmtId="0" fontId="5" fillId="7" borderId="4" xfId="0" applyFont="1" applyFill="1" applyBorder="1" applyAlignment="1">
      <alignment horizontal="center"/>
    </xf>
    <xf numFmtId="0" fontId="5" fillId="7" borderId="4" xfId="0" applyFont="1" applyFill="1" applyBorder="1" applyAlignment="1">
      <alignment horizontal="left" wrapText="1"/>
    </xf>
    <xf numFmtId="164" fontId="6" fillId="7" borderId="4" xfId="0" applyNumberFormat="1" applyFont="1" applyFill="1" applyBorder="1" applyAlignment="1" applyProtection="1">
      <alignment horizontal="center" vertical="center" wrapText="1"/>
      <protection locked="0"/>
    </xf>
    <xf numFmtId="0" fontId="5" fillId="0" borderId="0" xfId="0" applyFont="1" applyAlignment="1">
      <alignment horizontal="center"/>
    </xf>
    <xf numFmtId="0" fontId="5" fillId="0" borderId="0" xfId="0" applyFont="1" applyAlignment="1">
      <alignment horizontal="left" wrapText="1"/>
    </xf>
    <xf numFmtId="0" fontId="4" fillId="6" borderId="6" xfId="0" applyFont="1" applyFill="1" applyBorder="1" applyAlignment="1">
      <alignment horizontal="left"/>
    </xf>
    <xf numFmtId="0" fontId="4" fillId="6" borderId="9" xfId="0" applyFont="1" applyFill="1" applyBorder="1" applyAlignment="1">
      <alignment horizontal="left"/>
    </xf>
    <xf numFmtId="0" fontId="4" fillId="6" borderId="7" xfId="0" applyFont="1" applyFill="1" applyBorder="1" applyAlignment="1">
      <alignment horizontal="left"/>
    </xf>
    <xf numFmtId="164" fontId="6" fillId="6" borderId="4" xfId="0" applyNumberFormat="1" applyFont="1" applyFill="1" applyBorder="1" applyAlignment="1" applyProtection="1">
      <alignment horizontal="center"/>
      <protection locked="0"/>
    </xf>
    <xf numFmtId="0" fontId="5" fillId="0" borderId="10" xfId="0" applyFont="1" applyBorder="1"/>
    <xf numFmtId="0" fontId="5" fillId="0" borderId="14" xfId="0" applyFont="1" applyBorder="1"/>
    <xf numFmtId="0" fontId="6" fillId="0" borderId="14" xfId="0" applyFont="1" applyBorder="1" applyAlignment="1" applyProtection="1">
      <alignment horizontal="center"/>
      <protection locked="0"/>
    </xf>
    <xf numFmtId="0" fontId="6" fillId="0" borderId="15" xfId="0" applyFont="1" applyBorder="1" applyAlignment="1" applyProtection="1">
      <alignment horizontal="center"/>
      <protection locked="0"/>
    </xf>
    <xf numFmtId="0" fontId="3" fillId="3" borderId="6" xfId="0" applyFont="1" applyFill="1" applyBorder="1" applyAlignment="1">
      <alignment horizontal="center" vertical="center"/>
    </xf>
    <xf numFmtId="0" fontId="3" fillId="3" borderId="9" xfId="0" applyFont="1" applyFill="1" applyBorder="1" applyAlignment="1">
      <alignment horizontal="center" vertical="center"/>
    </xf>
    <xf numFmtId="0" fontId="3" fillId="3" borderId="7" xfId="0" applyFont="1" applyFill="1" applyBorder="1" applyAlignment="1">
      <alignment horizontal="center" vertical="center"/>
    </xf>
    <xf numFmtId="0" fontId="7" fillId="4" borderId="5" xfId="0" applyFont="1" applyFill="1" applyBorder="1"/>
    <xf numFmtId="0" fontId="7" fillId="0" borderId="0" xfId="0" applyFont="1" applyAlignment="1" applyProtection="1">
      <alignment horizontal="justify" vertical="top"/>
      <protection locked="0"/>
    </xf>
    <xf numFmtId="0" fontId="7" fillId="0" borderId="8" xfId="0" applyFont="1" applyBorder="1" applyAlignment="1" applyProtection="1">
      <alignment horizontal="justify" vertical="top"/>
      <protection locked="0"/>
    </xf>
    <xf numFmtId="0" fontId="6" fillId="0" borderId="0" xfId="0" applyFont="1" applyAlignment="1" applyProtection="1">
      <alignment horizontal="left"/>
      <protection locked="0"/>
    </xf>
    <xf numFmtId="0" fontId="6" fillId="6" borderId="0" xfId="0" applyFont="1" applyFill="1" applyAlignment="1" applyProtection="1">
      <alignment horizontal="center" vertical="center"/>
      <protection locked="0"/>
    </xf>
    <xf numFmtId="167" fontId="6" fillId="6" borderId="0" xfId="0" applyNumberFormat="1" applyFont="1" applyFill="1" applyAlignment="1" applyProtection="1">
      <alignment horizontal="center"/>
      <protection locked="0"/>
    </xf>
    <xf numFmtId="14" fontId="1" fillId="0" borderId="0" xfId="0" applyNumberFormat="1" applyFont="1"/>
    <xf numFmtId="0" fontId="6" fillId="0" borderId="5" xfId="0" applyFont="1" applyBorder="1" applyAlignment="1">
      <alignment horizontal="left"/>
    </xf>
    <xf numFmtId="0" fontId="6" fillId="0" borderId="0" xfId="0" applyFont="1" applyAlignment="1">
      <alignment horizontal="left"/>
    </xf>
    <xf numFmtId="167" fontId="6" fillId="0" borderId="0" xfId="0" applyNumberFormat="1" applyFont="1" applyAlignment="1" applyProtection="1">
      <alignment horizontal="center"/>
      <protection locked="0"/>
    </xf>
    <xf numFmtId="0" fontId="6" fillId="0" borderId="0" xfId="0" applyFont="1" applyAlignment="1">
      <alignment horizontal="center"/>
    </xf>
    <xf numFmtId="168" fontId="4" fillId="6" borderId="0" xfId="0" applyNumberFormat="1" applyFont="1" applyFill="1" applyAlignment="1" applyProtection="1">
      <alignment horizontal="left"/>
      <protection locked="0"/>
    </xf>
    <xf numFmtId="164" fontId="7" fillId="0" borderId="0" xfId="0" applyNumberFormat="1" applyFont="1" applyAlignment="1" applyProtection="1">
      <alignment horizontal="justify" vertical="top"/>
      <protection locked="0"/>
    </xf>
    <xf numFmtId="168" fontId="4" fillId="0" borderId="0" xfId="0" applyNumberFormat="1" applyFont="1" applyAlignment="1" applyProtection="1">
      <alignment horizontal="left"/>
      <protection locked="0"/>
    </xf>
    <xf numFmtId="0" fontId="4" fillId="4" borderId="5" xfId="0" applyFont="1" applyFill="1" applyBorder="1" applyAlignment="1">
      <alignment horizontal="center" wrapText="1"/>
    </xf>
    <xf numFmtId="0" fontId="4" fillId="4" borderId="0" xfId="0" applyFont="1" applyFill="1" applyAlignment="1">
      <alignment horizontal="center" wrapText="1"/>
    </xf>
    <xf numFmtId="168" fontId="4" fillId="0" borderId="8" xfId="0" applyNumberFormat="1" applyFont="1" applyBorder="1" applyAlignment="1" applyProtection="1">
      <alignment horizontal="left"/>
      <protection locked="0"/>
    </xf>
    <xf numFmtId="0" fontId="4" fillId="4" borderId="4" xfId="0" applyFont="1" applyFill="1" applyBorder="1" applyAlignment="1">
      <alignment horizontal="center" wrapText="1"/>
    </xf>
    <xf numFmtId="0" fontId="4" fillId="4" borderId="4" xfId="0" applyFont="1" applyFill="1" applyBorder="1" applyAlignment="1">
      <alignment horizontal="center" vertical="center"/>
    </xf>
    <xf numFmtId="0" fontId="5" fillId="4" borderId="6" xfId="0" applyFont="1" applyFill="1" applyBorder="1" applyAlignment="1">
      <alignment horizontal="left"/>
    </xf>
    <xf numFmtId="0" fontId="5" fillId="4" borderId="7" xfId="0" applyFont="1" applyFill="1" applyBorder="1" applyAlignment="1">
      <alignment horizontal="left"/>
    </xf>
    <xf numFmtId="1" fontId="5" fillId="6" borderId="4" xfId="0" applyNumberFormat="1" applyFont="1" applyFill="1" applyBorder="1" applyAlignment="1">
      <alignment horizontal="center"/>
    </xf>
    <xf numFmtId="0" fontId="5" fillId="2" borderId="6" xfId="0" applyFont="1" applyFill="1" applyBorder="1" applyAlignment="1">
      <alignment horizontal="left"/>
    </xf>
    <xf numFmtId="0" fontId="5" fillId="2" borderId="7" xfId="0" applyFont="1" applyFill="1" applyBorder="1" applyAlignment="1">
      <alignment horizontal="left"/>
    </xf>
    <xf numFmtId="169" fontId="5" fillId="6" borderId="4" xfId="0" applyNumberFormat="1" applyFont="1" applyFill="1" applyBorder="1"/>
    <xf numFmtId="167" fontId="1" fillId="0" borderId="0" xfId="0" applyNumberFormat="1" applyFont="1"/>
    <xf numFmtId="170" fontId="5" fillId="6" borderId="4" xfId="0" applyNumberFormat="1" applyFont="1" applyFill="1" applyBorder="1"/>
    <xf numFmtId="171" fontId="5" fillId="6" borderId="4" xfId="0" applyNumberFormat="1" applyFont="1" applyFill="1" applyBorder="1"/>
    <xf numFmtId="0" fontId="5" fillId="0" borderId="0" xfId="0" applyFont="1" applyAlignment="1">
      <alignment horizontal="left"/>
    </xf>
    <xf numFmtId="169" fontId="5" fillId="0" borderId="0" xfId="0" applyNumberFormat="1" applyFont="1"/>
    <xf numFmtId="0" fontId="9" fillId="0" borderId="0" xfId="0" applyFont="1"/>
    <xf numFmtId="0" fontId="4" fillId="0" borderId="15" xfId="0" applyFont="1" applyBorder="1"/>
    <xf numFmtId="0" fontId="5" fillId="4" borderId="0" xfId="0" applyFont="1" applyFill="1" applyAlignment="1">
      <alignment horizontal="left"/>
    </xf>
    <xf numFmtId="164" fontId="9" fillId="0" borderId="0" xfId="0" applyNumberFormat="1" applyFont="1"/>
    <xf numFmtId="14" fontId="9" fillId="0" borderId="0" xfId="0" applyNumberFormat="1" applyFont="1"/>
    <xf numFmtId="0" fontId="6" fillId="0" borderId="6" xfId="0" applyFont="1" applyBorder="1" applyAlignment="1">
      <alignment horizontal="center"/>
    </xf>
    <xf numFmtId="0" fontId="6" fillId="0" borderId="7" xfId="0" applyFont="1" applyBorder="1" applyAlignment="1">
      <alignment horizontal="center"/>
    </xf>
    <xf numFmtId="0" fontId="6" fillId="0" borderId="4" xfId="0" applyFont="1" applyBorder="1" applyAlignment="1">
      <alignment horizontal="center"/>
    </xf>
    <xf numFmtId="0" fontId="6" fillId="0" borderId="8" xfId="0" applyFont="1" applyBorder="1" applyAlignment="1">
      <alignment horizontal="center"/>
    </xf>
    <xf numFmtId="0" fontId="5" fillId="0" borderId="5" xfId="0" applyFont="1" applyBorder="1" applyAlignment="1">
      <alignment vertical="center"/>
    </xf>
    <xf numFmtId="0" fontId="5" fillId="5" borderId="6" xfId="0" applyFont="1" applyFill="1" applyBorder="1" applyAlignment="1" applyProtection="1">
      <alignment horizontal="center" vertical="center" wrapText="1"/>
      <protection locked="0"/>
    </xf>
    <xf numFmtId="0" fontId="5" fillId="5" borderId="7" xfId="0" applyFont="1" applyFill="1" applyBorder="1" applyAlignment="1" applyProtection="1">
      <alignment horizontal="center" vertical="center" wrapText="1"/>
      <protection locked="0"/>
    </xf>
    <xf numFmtId="0" fontId="5" fillId="5" borderId="6" xfId="0" applyFont="1" applyFill="1" applyBorder="1" applyAlignment="1" applyProtection="1">
      <alignment vertical="center"/>
      <protection locked="0"/>
    </xf>
    <xf numFmtId="172" fontId="5" fillId="5" borderId="4" xfId="0" applyNumberFormat="1" applyFont="1" applyFill="1" applyBorder="1" applyAlignment="1" applyProtection="1">
      <alignment vertical="center"/>
      <protection locked="0"/>
    </xf>
    <xf numFmtId="168" fontId="4" fillId="6" borderId="0" xfId="0" applyNumberFormat="1" applyFont="1" applyFill="1" applyProtection="1">
      <protection locked="0"/>
    </xf>
    <xf numFmtId="14" fontId="1" fillId="0" borderId="0" xfId="0" applyNumberFormat="1" applyFont="1" applyAlignment="1">
      <alignment vertical="center"/>
    </xf>
    <xf numFmtId="0" fontId="5" fillId="5" borderId="13" xfId="0" applyFont="1" applyFill="1" applyBorder="1" applyAlignment="1" applyProtection="1">
      <alignment horizontal="center" vertical="center"/>
      <protection locked="0"/>
    </xf>
    <xf numFmtId="0" fontId="5" fillId="5" borderId="13" xfId="0" applyFont="1" applyFill="1" applyBorder="1" applyAlignment="1" applyProtection="1">
      <alignment vertical="center"/>
      <protection locked="0"/>
    </xf>
    <xf numFmtId="0" fontId="5" fillId="5" borderId="4" xfId="0" applyFont="1" applyFill="1" applyBorder="1" applyAlignment="1" applyProtection="1">
      <alignment vertical="center"/>
      <protection locked="0"/>
    </xf>
    <xf numFmtId="164" fontId="1" fillId="0" borderId="0" xfId="0" applyNumberFormat="1" applyFont="1" applyAlignment="1">
      <alignment vertical="center"/>
    </xf>
    <xf numFmtId="0" fontId="5" fillId="5" borderId="4" xfId="0" applyFont="1" applyFill="1" applyBorder="1" applyAlignment="1" applyProtection="1">
      <alignment horizontal="center" vertical="top"/>
      <protection locked="0"/>
    </xf>
    <xf numFmtId="0" fontId="5" fillId="5" borderId="1" xfId="0" applyFont="1" applyFill="1" applyBorder="1" applyAlignment="1" applyProtection="1">
      <alignment vertical="center"/>
      <protection locked="0"/>
    </xf>
    <xf numFmtId="0" fontId="5" fillId="0" borderId="5" xfId="0" applyFont="1" applyBorder="1" applyAlignment="1" applyProtection="1">
      <alignment horizontal="center" vertical="top" wrapText="1"/>
      <protection locked="0"/>
    </xf>
    <xf numFmtId="0" fontId="5" fillId="0" borderId="0" xfId="0" applyFont="1" applyAlignment="1" applyProtection="1">
      <alignment horizontal="center" vertical="top" wrapText="1"/>
      <protection locked="0"/>
    </xf>
    <xf numFmtId="0" fontId="5" fillId="0" borderId="0" xfId="0" applyFont="1" applyAlignment="1" applyProtection="1">
      <alignment horizontal="center" vertical="top"/>
      <protection locked="0"/>
    </xf>
    <xf numFmtId="0" fontId="5" fillId="0" borderId="0" xfId="0" applyFont="1" applyAlignment="1" applyProtection="1">
      <alignment vertical="center"/>
      <protection locked="0"/>
    </xf>
    <xf numFmtId="0" fontId="5" fillId="0" borderId="0" xfId="0" applyFont="1" applyAlignment="1" applyProtection="1">
      <alignment horizontal="center" vertical="center"/>
      <protection locked="0"/>
    </xf>
    <xf numFmtId="0" fontId="4" fillId="8" borderId="6" xfId="0" applyFont="1" applyFill="1" applyBorder="1" applyAlignment="1" applyProtection="1">
      <alignment horizontal="center" vertical="center"/>
      <protection locked="0"/>
    </xf>
    <xf numFmtId="172" fontId="4" fillId="8" borderId="4" xfId="0" applyNumberFormat="1" applyFont="1" applyFill="1" applyBorder="1" applyAlignment="1" applyProtection="1">
      <alignment vertical="center"/>
      <protection locked="0"/>
    </xf>
    <xf numFmtId="0" fontId="4" fillId="0" borderId="5" xfId="0" applyFont="1" applyBorder="1" applyAlignment="1" applyProtection="1">
      <alignment vertical="top"/>
      <protection locked="0"/>
    </xf>
    <xf numFmtId="0" fontId="4" fillId="0" borderId="0" xfId="0" applyFont="1" applyAlignment="1" applyProtection="1">
      <alignment vertical="top"/>
      <protection locked="0"/>
    </xf>
    <xf numFmtId="0" fontId="4" fillId="0" borderId="0" xfId="0" applyFont="1" applyAlignment="1" applyProtection="1">
      <alignment horizontal="center" vertical="center"/>
      <protection locked="0"/>
    </xf>
    <xf numFmtId="172" fontId="4" fillId="0" borderId="0" xfId="0" applyNumberFormat="1" applyFont="1" applyAlignment="1" applyProtection="1">
      <alignment vertical="center"/>
      <protection locked="0"/>
    </xf>
    <xf numFmtId="0" fontId="6" fillId="0" borderId="16" xfId="0" applyFont="1" applyBorder="1" applyAlignment="1">
      <alignment vertical="center"/>
    </xf>
    <xf numFmtId="0" fontId="6" fillId="0" borderId="17" xfId="0" applyFont="1" applyBorder="1" applyAlignment="1">
      <alignment vertical="center"/>
    </xf>
    <xf numFmtId="0" fontId="6" fillId="0" borderId="18" xfId="0" applyFont="1" applyBorder="1" applyAlignment="1">
      <alignment horizontal="center" vertical="center"/>
    </xf>
    <xf numFmtId="0" fontId="6" fillId="0" borderId="18" xfId="0" applyFont="1" applyBorder="1" applyAlignment="1">
      <alignment horizontal="center" vertical="center" wrapText="1"/>
    </xf>
    <xf numFmtId="0" fontId="6" fillId="0" borderId="19" xfId="0" applyFont="1" applyBorder="1" applyAlignment="1">
      <alignment horizontal="center" vertical="center"/>
    </xf>
    <xf numFmtId="172" fontId="4" fillId="0" borderId="8" xfId="0" applyNumberFormat="1" applyFont="1" applyBorder="1" applyAlignment="1" applyProtection="1">
      <alignment vertical="center"/>
      <protection locked="0"/>
    </xf>
    <xf numFmtId="0" fontId="5" fillId="2" borderId="20" xfId="0" applyFont="1" applyFill="1" applyBorder="1" applyAlignment="1" applyProtection="1">
      <alignment horizontal="center" vertical="center"/>
      <protection locked="0"/>
    </xf>
    <xf numFmtId="167" fontId="5" fillId="2" borderId="4" xfId="0" applyNumberFormat="1" applyFont="1" applyFill="1" applyBorder="1" applyAlignment="1" applyProtection="1">
      <alignment horizontal="center" vertical="center"/>
      <protection locked="0"/>
    </xf>
    <xf numFmtId="172" fontId="5" fillId="2" borderId="4" xfId="0" applyNumberFormat="1" applyFont="1" applyFill="1" applyBorder="1" applyAlignment="1" applyProtection="1">
      <alignment horizontal="center" vertical="center"/>
      <protection locked="0"/>
    </xf>
    <xf numFmtId="172" fontId="5" fillId="2" borderId="21" xfId="0" applyNumberFormat="1" applyFont="1" applyFill="1" applyBorder="1" applyAlignment="1" applyProtection="1">
      <alignment vertical="center"/>
      <protection locked="0"/>
    </xf>
    <xf numFmtId="0" fontId="4" fillId="6" borderId="22" xfId="0" applyFont="1" applyFill="1" applyBorder="1" applyAlignment="1" applyProtection="1">
      <alignment horizontal="left" vertical="center"/>
      <protection locked="0"/>
    </xf>
    <xf numFmtId="0" fontId="4" fillId="6" borderId="9" xfId="0" applyFont="1" applyFill="1" applyBorder="1" applyAlignment="1" applyProtection="1">
      <alignment horizontal="left" vertical="center"/>
      <protection locked="0"/>
    </xf>
    <xf numFmtId="0" fontId="4" fillId="6" borderId="7" xfId="0" applyFont="1" applyFill="1" applyBorder="1" applyAlignment="1" applyProtection="1">
      <alignment horizontal="left" vertical="center"/>
      <protection locked="0"/>
    </xf>
    <xf numFmtId="172" fontId="4" fillId="2" borderId="4" xfId="0" applyNumberFormat="1" applyFont="1" applyFill="1" applyBorder="1" applyAlignment="1" applyProtection="1">
      <alignment horizontal="center" vertical="center"/>
      <protection locked="0"/>
    </xf>
    <xf numFmtId="0" fontId="4" fillId="0" borderId="10" xfId="0" applyFont="1" applyBorder="1" applyAlignment="1" applyProtection="1">
      <alignment vertical="top"/>
      <protection locked="0"/>
    </xf>
    <xf numFmtId="172" fontId="4" fillId="0" borderId="14" xfId="0" applyNumberFormat="1" applyFont="1" applyBorder="1" applyAlignment="1" applyProtection="1">
      <alignment vertical="center"/>
      <protection locked="0"/>
    </xf>
    <xf numFmtId="172" fontId="4" fillId="0" borderId="15" xfId="0" applyNumberFormat="1" applyFont="1" applyBorder="1" applyAlignment="1" applyProtection="1">
      <alignment vertical="center"/>
      <protection locked="0"/>
    </xf>
    <xf numFmtId="0" fontId="4" fillId="0" borderId="1" xfId="0" applyFont="1" applyBorder="1" applyAlignment="1" applyProtection="1">
      <alignment vertical="top"/>
      <protection locked="0"/>
    </xf>
    <xf numFmtId="0" fontId="4" fillId="0" borderId="2" xfId="0" applyFont="1" applyBorder="1" applyAlignment="1" applyProtection="1">
      <alignment vertical="top"/>
      <protection locked="0"/>
    </xf>
    <xf numFmtId="0" fontId="5" fillId="0" borderId="2" xfId="0" applyFont="1" applyBorder="1" applyAlignment="1" applyProtection="1">
      <alignment vertical="center"/>
      <protection locked="0"/>
    </xf>
    <xf numFmtId="0" fontId="5" fillId="0" borderId="2" xfId="0" applyFont="1" applyBorder="1" applyAlignment="1" applyProtection="1">
      <alignment horizontal="center" vertical="center"/>
      <protection locked="0"/>
    </xf>
    <xf numFmtId="0" fontId="4" fillId="0" borderId="2" xfId="0" applyFont="1" applyBorder="1" applyAlignment="1" applyProtection="1">
      <alignment horizontal="center" vertical="center"/>
      <protection locked="0"/>
    </xf>
    <xf numFmtId="172" fontId="4" fillId="0" borderId="2" xfId="0" applyNumberFormat="1" applyFont="1" applyBorder="1" applyAlignment="1" applyProtection="1">
      <alignment vertical="center"/>
      <protection locked="0"/>
    </xf>
    <xf numFmtId="172" fontId="4" fillId="0" borderId="3" xfId="0" applyNumberFormat="1" applyFont="1" applyBorder="1" applyAlignment="1" applyProtection="1">
      <alignment vertical="center"/>
      <protection locked="0"/>
    </xf>
    <xf numFmtId="0" fontId="5" fillId="0" borderId="5" xfId="0" applyFont="1" applyBorder="1" applyAlignment="1" applyProtection="1">
      <alignment horizontal="center" vertical="center" wrapText="1"/>
      <protection locked="0"/>
    </xf>
    <xf numFmtId="0" fontId="5" fillId="0" borderId="0" xfId="0" applyFont="1" applyAlignment="1" applyProtection="1">
      <alignment horizontal="center" vertical="center" wrapText="1"/>
      <protection locked="0"/>
    </xf>
    <xf numFmtId="172" fontId="5" fillId="0" borderId="0" xfId="0" applyNumberFormat="1" applyFont="1" applyAlignment="1" applyProtection="1">
      <alignment vertical="center"/>
      <protection locked="0"/>
    </xf>
    <xf numFmtId="172" fontId="5" fillId="0" borderId="8" xfId="0" applyNumberFormat="1" applyFont="1" applyBorder="1" applyAlignment="1" applyProtection="1">
      <alignment vertical="center"/>
      <protection locked="0"/>
    </xf>
    <xf numFmtId="0" fontId="3" fillId="0" borderId="5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8" xfId="0" applyFont="1" applyBorder="1" applyAlignment="1">
      <alignment horizontal="center" vertical="center"/>
    </xf>
    <xf numFmtId="0" fontId="7" fillId="0" borderId="5" xfId="0" applyFont="1" applyBorder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7" fillId="0" borderId="8" xfId="0" applyFont="1" applyBorder="1" applyAlignment="1">
      <alignment horizontal="left" vertical="top" wrapText="1"/>
    </xf>
    <xf numFmtId="0" fontId="5" fillId="0" borderId="5" xfId="0" applyFont="1" applyBorder="1" applyAlignment="1">
      <alignment vertical="top" wrapText="1"/>
    </xf>
    <xf numFmtId="0" fontId="5" fillId="0" borderId="0" xfId="0" applyFont="1" applyAlignment="1">
      <alignment vertical="top" wrapText="1"/>
    </xf>
    <xf numFmtId="0" fontId="5" fillId="0" borderId="0" xfId="0" applyFont="1" applyAlignment="1">
      <alignment horizontal="center" vertical="center" wrapText="1"/>
    </xf>
    <xf numFmtId="168" fontId="5" fillId="0" borderId="0" xfId="0" applyNumberFormat="1" applyFont="1" applyAlignment="1" applyProtection="1">
      <alignment horizontal="left"/>
      <protection locked="0"/>
    </xf>
    <xf numFmtId="168" fontId="5" fillId="0" borderId="8" xfId="0" applyNumberFormat="1" applyFont="1" applyBorder="1" applyAlignment="1" applyProtection="1">
      <alignment horizontal="left"/>
      <protection locked="0"/>
    </xf>
    <xf numFmtId="0" fontId="5" fillId="4" borderId="5" xfId="0" applyFont="1" applyFill="1" applyBorder="1" applyAlignment="1">
      <alignment horizontal="left" vertical="top" wrapText="1"/>
    </xf>
    <xf numFmtId="0" fontId="5" fillId="4" borderId="0" xfId="0" applyFont="1" applyFill="1" applyAlignment="1">
      <alignment horizontal="left" vertical="top" wrapText="1"/>
    </xf>
    <xf numFmtId="0" fontId="5" fillId="4" borderId="8" xfId="0" applyFont="1" applyFill="1" applyBorder="1" applyAlignment="1">
      <alignment horizontal="left" vertical="top" wrapText="1"/>
    </xf>
    <xf numFmtId="0" fontId="5" fillId="4" borderId="10" xfId="0" applyFont="1" applyFill="1" applyBorder="1" applyAlignment="1">
      <alignment horizontal="left" vertical="top" wrapText="1"/>
    </xf>
    <xf numFmtId="0" fontId="5" fillId="4" borderId="14" xfId="0" applyFont="1" applyFill="1" applyBorder="1" applyAlignment="1">
      <alignment horizontal="left" vertical="top" wrapText="1"/>
    </xf>
    <xf numFmtId="0" fontId="5" fillId="4" borderId="15" xfId="0" applyFont="1" applyFill="1" applyBorder="1" applyAlignment="1">
      <alignment horizontal="left" vertical="top" wrapText="1"/>
    </xf>
    <xf numFmtId="0" fontId="5" fillId="0" borderId="5" xfId="0" applyFont="1" applyBorder="1" applyAlignment="1">
      <alignment horizontal="left" vertical="top" wrapText="1"/>
    </xf>
    <xf numFmtId="0" fontId="5" fillId="0" borderId="0" xfId="0" applyFont="1" applyAlignment="1">
      <alignment horizontal="left" vertical="top" wrapText="1"/>
    </xf>
    <xf numFmtId="0" fontId="5" fillId="0" borderId="8" xfId="0" applyFont="1" applyBorder="1" applyAlignment="1">
      <alignment horizontal="left" vertical="top" wrapText="1"/>
    </xf>
    <xf numFmtId="0" fontId="10" fillId="0" borderId="0" xfId="0" applyFont="1" applyAlignment="1">
      <alignment vertical="top"/>
    </xf>
    <xf numFmtId="0" fontId="10" fillId="0" borderId="0" xfId="0" applyFont="1" applyAlignment="1">
      <alignment horizontal="left" vertical="top"/>
    </xf>
    <xf numFmtId="0" fontId="10" fillId="0" borderId="8" xfId="0" applyFont="1" applyBorder="1" applyAlignment="1">
      <alignment horizontal="left" vertical="top"/>
    </xf>
    <xf numFmtId="10" fontId="11" fillId="5" borderId="4" xfId="0" applyNumberFormat="1" applyFont="1" applyFill="1" applyBorder="1" applyAlignment="1">
      <alignment horizontal="center" vertical="top"/>
    </xf>
    <xf numFmtId="0" fontId="11" fillId="0" borderId="8" xfId="0" applyFont="1" applyBorder="1" applyAlignment="1">
      <alignment horizontal="justify" vertical="top"/>
    </xf>
    <xf numFmtId="0" fontId="10" fillId="0" borderId="5" xfId="0" applyFont="1" applyBorder="1" applyAlignment="1">
      <alignment horizontal="center" vertical="top"/>
    </xf>
    <xf numFmtId="0" fontId="10" fillId="0" borderId="0" xfId="0" applyFont="1" applyAlignment="1">
      <alignment horizontal="center" vertical="top"/>
    </xf>
    <xf numFmtId="10" fontId="11" fillId="0" borderId="0" xfId="0" applyNumberFormat="1" applyFont="1" applyAlignment="1">
      <alignment horizontal="center" vertical="top"/>
    </xf>
    <xf numFmtId="0" fontId="11" fillId="0" borderId="0" xfId="0" applyFont="1" applyAlignment="1">
      <alignment horizontal="justify" vertical="top"/>
    </xf>
    <xf numFmtId="0" fontId="5" fillId="2" borderId="0" xfId="0" applyFont="1" applyFill="1" applyAlignment="1">
      <alignment vertical="top" wrapText="1"/>
    </xf>
    <xf numFmtId="0" fontId="5" fillId="2" borderId="8" xfId="0" applyFont="1" applyFill="1" applyBorder="1" applyAlignment="1">
      <alignment vertical="top" wrapText="1"/>
    </xf>
    <xf numFmtId="0" fontId="12" fillId="0" borderId="0" xfId="0" applyFont="1" applyAlignment="1">
      <alignment vertical="top"/>
    </xf>
    <xf numFmtId="0" fontId="13" fillId="0" borderId="5" xfId="0" applyFont="1" applyBorder="1" applyAlignment="1">
      <alignment vertical="top"/>
    </xf>
    <xf numFmtId="0" fontId="4" fillId="0" borderId="6" xfId="0" applyFont="1" applyBorder="1" applyAlignment="1">
      <alignment horizontal="center" vertical="top" wrapText="1"/>
    </xf>
    <xf numFmtId="0" fontId="4" fillId="0" borderId="9" xfId="0" applyFont="1" applyBorder="1" applyAlignment="1">
      <alignment horizontal="center" vertical="top" wrapText="1"/>
    </xf>
    <xf numFmtId="0" fontId="4" fillId="0" borderId="7" xfId="0" applyFont="1" applyBorder="1" applyAlignment="1">
      <alignment horizontal="center" vertical="top" wrapText="1"/>
    </xf>
    <xf numFmtId="0" fontId="4" fillId="0" borderId="4" xfId="0" applyFont="1" applyBorder="1" applyAlignment="1">
      <alignment horizontal="center" vertical="top" wrapText="1"/>
    </xf>
    <xf numFmtId="0" fontId="11" fillId="5" borderId="6" xfId="0" applyFont="1" applyFill="1" applyBorder="1" applyAlignment="1">
      <alignment horizontal="center" vertical="center" wrapText="1"/>
    </xf>
    <xf numFmtId="0" fontId="11" fillId="5" borderId="9" xfId="0" applyFont="1" applyFill="1" applyBorder="1" applyAlignment="1">
      <alignment horizontal="center" vertical="center" wrapText="1"/>
    </xf>
    <xf numFmtId="0" fontId="11" fillId="5" borderId="7" xfId="0" applyFont="1" applyFill="1" applyBorder="1" applyAlignment="1">
      <alignment horizontal="center" vertical="center" wrapText="1"/>
    </xf>
    <xf numFmtId="0" fontId="14" fillId="5" borderId="4" xfId="0" applyFont="1" applyFill="1" applyBorder="1" applyAlignment="1">
      <alignment horizontal="center" vertical="center" wrapText="1"/>
    </xf>
    <xf numFmtId="9" fontId="11" fillId="5" borderId="4" xfId="0" applyNumberFormat="1" applyFont="1" applyFill="1" applyBorder="1" applyAlignment="1">
      <alignment horizontal="center" vertical="center" wrapText="1"/>
    </xf>
    <xf numFmtId="0" fontId="11" fillId="5" borderId="4" xfId="0" applyFont="1" applyFill="1" applyBorder="1" applyAlignment="1">
      <alignment horizontal="center" vertical="center" wrapText="1"/>
    </xf>
    <xf numFmtId="0" fontId="11" fillId="5" borderId="4" xfId="0" applyFont="1" applyFill="1" applyBorder="1" applyAlignment="1">
      <alignment horizontal="justify" vertical="top" wrapText="1"/>
    </xf>
    <xf numFmtId="9" fontId="11" fillId="5" borderId="4" xfId="0" applyNumberFormat="1" applyFont="1" applyFill="1" applyBorder="1" applyAlignment="1">
      <alignment horizontal="center" vertical="top" wrapText="1"/>
    </xf>
    <xf numFmtId="0" fontId="5" fillId="2" borderId="5" xfId="0" applyFont="1" applyFill="1" applyBorder="1"/>
    <xf numFmtId="0" fontId="4" fillId="5" borderId="5" xfId="0" applyFont="1" applyFill="1" applyBorder="1" applyAlignment="1" applyProtection="1">
      <alignment horizontal="left" vertical="top"/>
      <protection locked="0"/>
    </xf>
    <xf numFmtId="0" fontId="4" fillId="5" borderId="0" xfId="0" applyFont="1" applyFill="1" applyAlignment="1" applyProtection="1">
      <alignment horizontal="left" vertical="top"/>
      <protection locked="0"/>
    </xf>
    <xf numFmtId="0" fontId="4" fillId="5" borderId="8" xfId="0" applyFont="1" applyFill="1" applyBorder="1" applyAlignment="1" applyProtection="1">
      <alignment horizontal="left" vertical="top"/>
      <protection locked="0"/>
    </xf>
    <xf numFmtId="0" fontId="4" fillId="5" borderId="10" xfId="0" applyFont="1" applyFill="1" applyBorder="1" applyAlignment="1" applyProtection="1">
      <alignment horizontal="left" vertical="top"/>
      <protection locked="0"/>
    </xf>
    <xf numFmtId="0" fontId="4" fillId="5" borderId="14" xfId="0" applyFont="1" applyFill="1" applyBorder="1" applyAlignment="1" applyProtection="1">
      <alignment horizontal="left" vertical="top"/>
      <protection locked="0"/>
    </xf>
    <xf numFmtId="0" fontId="4" fillId="5" borderId="15" xfId="0" applyFont="1" applyFill="1" applyBorder="1" applyAlignment="1" applyProtection="1">
      <alignment horizontal="left" vertical="top"/>
      <protection locked="0"/>
    </xf>
    <xf numFmtId="0" fontId="5" fillId="4" borderId="5" xfId="0" applyFont="1" applyFill="1" applyBorder="1"/>
    <xf numFmtId="0" fontId="5" fillId="4" borderId="0" xfId="0" applyFont="1" applyFill="1"/>
    <xf numFmtId="0" fontId="4" fillId="4" borderId="5" xfId="0" applyFont="1" applyFill="1" applyBorder="1"/>
    <xf numFmtId="0" fontId="5" fillId="5" borderId="14" xfId="0" applyFont="1" applyFill="1" applyBorder="1" applyAlignment="1">
      <alignment horizontal="center"/>
    </xf>
    <xf numFmtId="0" fontId="4" fillId="0" borderId="0" xfId="0" applyFont="1"/>
    <xf numFmtId="0" fontId="7" fillId="0" borderId="5" xfId="0" applyFont="1" applyBorder="1"/>
    <xf numFmtId="0" fontId="7" fillId="0" borderId="0" xfId="0" applyFont="1"/>
    <xf numFmtId="0" fontId="7" fillId="0" borderId="0" xfId="0" applyFont="1" applyAlignment="1">
      <alignment horizontal="left"/>
    </xf>
    <xf numFmtId="0" fontId="7" fillId="2" borderId="5" xfId="0" applyFont="1" applyFill="1" applyBorder="1" applyAlignment="1">
      <alignment horizontal="justify" vertical="top"/>
    </xf>
    <xf numFmtId="0" fontId="7" fillId="2" borderId="0" xfId="0" applyFont="1" applyFill="1" applyAlignment="1">
      <alignment horizontal="justify" vertical="top"/>
    </xf>
    <xf numFmtId="0" fontId="7" fillId="2" borderId="8" xfId="0" applyFont="1" applyFill="1" applyBorder="1" applyAlignment="1">
      <alignment horizontal="justify" vertical="top"/>
    </xf>
    <xf numFmtId="0" fontId="7" fillId="4" borderId="5" xfId="0" applyFont="1" applyFill="1" applyBorder="1" applyAlignment="1">
      <alignment vertical="top"/>
    </xf>
    <xf numFmtId="0" fontId="7" fillId="4" borderId="0" xfId="0" applyFont="1" applyFill="1" applyAlignment="1">
      <alignment vertical="top"/>
    </xf>
    <xf numFmtId="0" fontId="6" fillId="6" borderId="23" xfId="0" applyFont="1" applyFill="1" applyBorder="1" applyAlignment="1" applyProtection="1">
      <alignment horizontal="center" vertical="top"/>
      <protection locked="0"/>
    </xf>
    <xf numFmtId="0" fontId="4" fillId="2" borderId="0" xfId="0" applyFont="1" applyFill="1" applyAlignment="1">
      <alignment horizontal="center"/>
    </xf>
    <xf numFmtId="0" fontId="5" fillId="2" borderId="5" xfId="0" applyFont="1" applyFill="1" applyBorder="1" applyAlignment="1">
      <alignment horizontal="left" vertical="top" wrapText="1"/>
    </xf>
    <xf numFmtId="0" fontId="5" fillId="2" borderId="0" xfId="0" applyFont="1" applyFill="1" applyAlignment="1">
      <alignment horizontal="left" vertical="top" wrapText="1"/>
    </xf>
    <xf numFmtId="0" fontId="5" fillId="2" borderId="8" xfId="0" applyFont="1" applyFill="1" applyBorder="1" applyAlignment="1">
      <alignment horizontal="left" vertical="top" wrapText="1"/>
    </xf>
    <xf numFmtId="0" fontId="4" fillId="2" borderId="5" xfId="0" applyFont="1" applyFill="1" applyBorder="1"/>
    <xf numFmtId="167" fontId="6" fillId="5" borderId="4" xfId="0" applyNumberFormat="1" applyFont="1" applyFill="1" applyBorder="1" applyAlignment="1" applyProtection="1">
      <alignment horizontal="center"/>
      <protection locked="0"/>
    </xf>
    <xf numFmtId="0" fontId="5" fillId="2" borderId="0" xfId="0" applyFont="1" applyFill="1" applyAlignment="1">
      <alignment horizontal="center"/>
    </xf>
    <xf numFmtId="0" fontId="5" fillId="2" borderId="5" xfId="0" applyFont="1" applyFill="1" applyBorder="1" applyAlignment="1">
      <alignment horizontal="justify" vertical="justify" wrapText="1"/>
    </xf>
    <xf numFmtId="0" fontId="5" fillId="2" borderId="0" xfId="0" applyFont="1" applyFill="1" applyAlignment="1">
      <alignment horizontal="justify" vertical="justify"/>
    </xf>
    <xf numFmtId="0" fontId="5" fillId="2" borderId="8" xfId="0" applyFont="1" applyFill="1" applyBorder="1" applyAlignment="1">
      <alignment horizontal="justify" vertical="justify"/>
    </xf>
    <xf numFmtId="0" fontId="5" fillId="2" borderId="5" xfId="0" applyFont="1" applyFill="1" applyBorder="1" applyAlignment="1">
      <alignment horizontal="justify" vertical="justify"/>
    </xf>
    <xf numFmtId="0" fontId="5" fillId="2" borderId="0" xfId="0" applyFont="1" applyFill="1" applyAlignment="1">
      <alignment horizontal="right" vertical="top" wrapText="1"/>
    </xf>
    <xf numFmtId="0" fontId="5" fillId="2" borderId="8" xfId="0" applyFont="1" applyFill="1" applyBorder="1" applyAlignment="1">
      <alignment horizontal="right" vertical="top" wrapText="1"/>
    </xf>
    <xf numFmtId="0" fontId="6" fillId="2" borderId="10" xfId="0" applyFont="1" applyFill="1" applyBorder="1"/>
    <xf numFmtId="0" fontId="6" fillId="2" borderId="14" xfId="0" applyFont="1" applyFill="1" applyBorder="1"/>
    <xf numFmtId="0" fontId="6" fillId="2" borderId="14" xfId="0" applyFont="1" applyFill="1" applyBorder="1" applyAlignment="1">
      <alignment horizontal="center"/>
    </xf>
    <xf numFmtId="0" fontId="5" fillId="2" borderId="14" xfId="0" applyFont="1" applyFill="1" applyBorder="1" applyAlignment="1">
      <alignment vertical="top" wrapText="1"/>
    </xf>
    <xf numFmtId="0" fontId="5" fillId="2" borderId="14" xfId="0" applyFont="1" applyFill="1" applyBorder="1" applyAlignment="1">
      <alignment horizontal="right" vertical="top" wrapText="1"/>
    </xf>
    <xf numFmtId="0" fontId="5" fillId="2" borderId="15" xfId="0" applyFont="1" applyFill="1" applyBorder="1" applyAlignment="1">
      <alignment horizontal="right" vertical="top" wrapText="1"/>
    </xf>
    <xf numFmtId="0" fontId="1" fillId="2" borderId="0" xfId="0" applyFont="1" applyFill="1"/>
    <xf numFmtId="0" fontId="15" fillId="0" borderId="0" xfId="0" applyFont="1"/>
    <xf numFmtId="0" fontId="1" fillId="0" borderId="0" xfId="0" applyFont="1" applyAlignment="1">
      <alignment vertical="top"/>
    </xf>
    <xf numFmtId="0" fontId="16" fillId="0" borderId="4" xfId="0" applyFont="1" applyBorder="1" applyAlignment="1">
      <alignment horizontal="center" vertical="center"/>
    </xf>
    <xf numFmtId="0" fontId="17" fillId="3" borderId="4" xfId="0" applyFont="1" applyFill="1" applyBorder="1" applyAlignment="1">
      <alignment horizontal="center" vertical="top"/>
    </xf>
    <xf numFmtId="0" fontId="18" fillId="4" borderId="1" xfId="0" applyFont="1" applyFill="1" applyBorder="1" applyAlignment="1">
      <alignment vertical="top"/>
    </xf>
    <xf numFmtId="0" fontId="18" fillId="4" borderId="2" xfId="0" applyFont="1" applyFill="1" applyBorder="1" applyAlignment="1">
      <alignment vertical="top"/>
    </xf>
    <xf numFmtId="0" fontId="18" fillId="0" borderId="3" xfId="0" applyFont="1" applyBorder="1" applyAlignment="1" applyProtection="1">
      <alignment vertical="top"/>
      <protection locked="0"/>
    </xf>
    <xf numFmtId="0" fontId="19" fillId="4" borderId="1" xfId="0" applyFont="1" applyFill="1" applyBorder="1" applyAlignment="1">
      <alignment horizontal="left" vertical="top"/>
    </xf>
    <xf numFmtId="0" fontId="19" fillId="4" borderId="2" xfId="0" applyFont="1" applyFill="1" applyBorder="1" applyAlignment="1">
      <alignment horizontal="left" vertical="top"/>
    </xf>
    <xf numFmtId="0" fontId="18" fillId="4" borderId="3" xfId="0" applyFont="1" applyFill="1" applyBorder="1" applyAlignment="1">
      <alignment horizontal="left" vertical="top"/>
    </xf>
    <xf numFmtId="0" fontId="18" fillId="4" borderId="10" xfId="0" applyFont="1" applyFill="1" applyBorder="1" applyAlignment="1">
      <alignment horizontal="left" vertical="top"/>
    </xf>
    <xf numFmtId="0" fontId="18" fillId="4" borderId="14" xfId="0" applyFont="1" applyFill="1" applyBorder="1" applyAlignment="1">
      <alignment horizontal="left" vertical="top"/>
    </xf>
    <xf numFmtId="0" fontId="18" fillId="4" borderId="15" xfId="0" applyFont="1" applyFill="1" applyBorder="1" applyAlignment="1">
      <alignment horizontal="left" vertical="top"/>
    </xf>
    <xf numFmtId="0" fontId="18" fillId="4" borderId="5" xfId="0" applyFont="1" applyFill="1" applyBorder="1" applyAlignment="1">
      <alignment vertical="top"/>
    </xf>
    <xf numFmtId="0" fontId="18" fillId="4" borderId="0" xfId="0" applyFont="1" applyFill="1" applyAlignment="1">
      <alignment vertical="top"/>
    </xf>
    <xf numFmtId="0" fontId="18" fillId="0" borderId="8" xfId="0" applyFont="1" applyBorder="1" applyAlignment="1" applyProtection="1">
      <alignment vertical="top"/>
      <protection locked="0"/>
    </xf>
    <xf numFmtId="0" fontId="1" fillId="4" borderId="5" xfId="0" applyFont="1" applyFill="1" applyBorder="1" applyAlignment="1">
      <alignment vertical="top"/>
    </xf>
    <xf numFmtId="0" fontId="1" fillId="4" borderId="0" xfId="0" applyFont="1" applyFill="1" applyAlignment="1">
      <alignment vertical="top"/>
    </xf>
    <xf numFmtId="0" fontId="1" fillId="4" borderId="8" xfId="0" applyFont="1" applyFill="1" applyBorder="1" applyAlignment="1">
      <alignment vertical="top"/>
    </xf>
    <xf numFmtId="0" fontId="20" fillId="0" borderId="1" xfId="0" applyFont="1" applyBorder="1" applyAlignment="1">
      <alignment vertical="top"/>
    </xf>
    <xf numFmtId="0" fontId="20" fillId="0" borderId="2" xfId="0" applyFont="1" applyBorder="1" applyAlignment="1">
      <alignment vertical="top"/>
    </xf>
    <xf numFmtId="0" fontId="1" fillId="0" borderId="3" xfId="0" applyFont="1" applyBorder="1" applyAlignment="1">
      <alignment vertical="top"/>
    </xf>
    <xf numFmtId="0" fontId="1" fillId="0" borderId="5" xfId="0" applyFont="1" applyBorder="1" applyAlignment="1">
      <alignment vertical="top"/>
    </xf>
    <xf numFmtId="0" fontId="1" fillId="0" borderId="8" xfId="0" applyFont="1" applyBorder="1" applyAlignment="1">
      <alignment vertical="top" wrapText="1"/>
    </xf>
    <xf numFmtId="0" fontId="1" fillId="0" borderId="8" xfId="0" applyFont="1" applyBorder="1" applyAlignment="1">
      <alignment vertical="top"/>
    </xf>
    <xf numFmtId="0" fontId="18" fillId="0" borderId="8" xfId="0" applyFont="1" applyBorder="1" applyAlignment="1">
      <alignment horizontal="left" vertical="top" wrapText="1"/>
    </xf>
    <xf numFmtId="0" fontId="18" fillId="4" borderId="8" xfId="0" applyFont="1" applyFill="1" applyBorder="1" applyAlignment="1">
      <alignment vertical="top" wrapText="1"/>
    </xf>
    <xf numFmtId="0" fontId="1" fillId="4" borderId="8" xfId="0" applyFont="1" applyFill="1" applyBorder="1" applyAlignment="1">
      <alignment vertical="top" wrapText="1"/>
    </xf>
    <xf numFmtId="0" fontId="1" fillId="0" borderId="3" xfId="0" applyFont="1" applyBorder="1" applyAlignment="1">
      <alignment vertical="top" wrapText="1"/>
    </xf>
    <xf numFmtId="0" fontId="17" fillId="3" borderId="11" xfId="0" applyFont="1" applyFill="1" applyBorder="1" applyAlignment="1">
      <alignment horizontal="center" vertical="top"/>
    </xf>
    <xf numFmtId="0" fontId="18" fillId="0" borderId="1" xfId="0" applyFont="1" applyBorder="1" applyAlignment="1" applyProtection="1">
      <alignment horizontal="left" vertical="top" wrapText="1"/>
      <protection locked="0"/>
    </xf>
    <xf numFmtId="0" fontId="18" fillId="0" borderId="2" xfId="0" applyFont="1" applyBorder="1" applyAlignment="1" applyProtection="1">
      <alignment horizontal="left" vertical="top" wrapText="1"/>
      <protection locked="0"/>
    </xf>
    <xf numFmtId="0" fontId="18" fillId="0" borderId="3" xfId="0" applyFont="1" applyBorder="1" applyAlignment="1">
      <alignment vertical="top" wrapText="1"/>
    </xf>
    <xf numFmtId="0" fontId="19" fillId="0" borderId="5" xfId="0" applyFont="1" applyBorder="1" applyAlignment="1">
      <alignment horizontal="left" vertical="top" wrapText="1"/>
    </xf>
    <xf numFmtId="0" fontId="19" fillId="0" borderId="0" xfId="0" applyFont="1" applyAlignment="1">
      <alignment horizontal="left" vertical="top" wrapText="1"/>
    </xf>
    <xf numFmtId="0" fontId="18" fillId="0" borderId="5" xfId="0" applyFont="1" applyBorder="1" applyAlignment="1">
      <alignment horizontal="left" vertical="top" wrapText="1"/>
    </xf>
    <xf numFmtId="0" fontId="18" fillId="0" borderId="0" xfId="0" applyFont="1" applyAlignment="1">
      <alignment horizontal="left" vertical="top" wrapText="1"/>
    </xf>
    <xf numFmtId="0" fontId="1" fillId="0" borderId="5" xfId="0" applyFont="1" applyBorder="1" applyAlignment="1">
      <alignment vertical="top" wrapText="1"/>
    </xf>
    <xf numFmtId="0" fontId="1" fillId="0" borderId="0" xfId="0" applyFont="1" applyAlignment="1">
      <alignment vertical="top" wrapText="1"/>
    </xf>
    <xf numFmtId="0" fontId="20" fillId="0" borderId="5" xfId="0" applyFont="1" applyBorder="1" applyAlignment="1">
      <alignment horizontal="left" vertical="top" wrapText="1"/>
    </xf>
    <xf numFmtId="0" fontId="20" fillId="0" borderId="0" xfId="0" applyFont="1" applyAlignment="1">
      <alignment horizontal="left" vertical="top" wrapText="1"/>
    </xf>
    <xf numFmtId="0" fontId="1" fillId="2" borderId="5" xfId="0" applyFont="1" applyFill="1" applyBorder="1" applyAlignment="1">
      <alignment vertical="top" wrapText="1"/>
    </xf>
    <xf numFmtId="0" fontId="1" fillId="2" borderId="5" xfId="0" applyFont="1" applyFill="1" applyBorder="1" applyAlignment="1">
      <alignment vertical="top"/>
    </xf>
    <xf numFmtId="0" fontId="1" fillId="2" borderId="0" xfId="0" applyFont="1" applyFill="1" applyAlignment="1">
      <alignment vertical="top" wrapText="1"/>
    </xf>
    <xf numFmtId="0" fontId="1" fillId="2" borderId="8" xfId="0" applyFont="1" applyFill="1" applyBorder="1" applyAlignment="1">
      <alignment vertical="top" wrapText="1"/>
    </xf>
    <xf numFmtId="0" fontId="8" fillId="0" borderId="5" xfId="0" applyFont="1" applyBorder="1" applyAlignment="1">
      <alignment vertical="top" wrapText="1"/>
    </xf>
    <xf numFmtId="0" fontId="18" fillId="0" borderId="8" xfId="0" applyFont="1" applyBorder="1" applyAlignment="1">
      <alignment vertical="top" wrapText="1"/>
    </xf>
    <xf numFmtId="0" fontId="1" fillId="0" borderId="5" xfId="0" applyFont="1" applyBorder="1" applyAlignment="1">
      <alignment horizontal="left" vertical="top" wrapText="1"/>
    </xf>
    <xf numFmtId="0" fontId="1" fillId="0" borderId="0" xfId="0" applyFont="1" applyAlignment="1">
      <alignment horizontal="left" vertical="top" wrapText="1"/>
    </xf>
    <xf numFmtId="0" fontId="1" fillId="0" borderId="8" xfId="0" applyFont="1" applyBorder="1" applyAlignment="1">
      <alignment horizontal="left" vertical="top" wrapText="1"/>
    </xf>
    <xf numFmtId="0" fontId="8" fillId="2" borderId="5" xfId="0" applyFont="1" applyFill="1" applyBorder="1" applyAlignment="1">
      <alignment horizontal="left" vertical="top"/>
    </xf>
    <xf numFmtId="0" fontId="1" fillId="2" borderId="0" xfId="0" applyFont="1" applyFill="1" applyAlignment="1">
      <alignment horizontal="left" vertical="top" wrapText="1"/>
    </xf>
    <xf numFmtId="0" fontId="1" fillId="2" borderId="8" xfId="0" applyFont="1" applyFill="1" applyBorder="1" applyAlignment="1">
      <alignment horizontal="left" vertical="top" wrapText="1"/>
    </xf>
    <xf numFmtId="0" fontId="1" fillId="2" borderId="5" xfId="0" applyFont="1" applyFill="1" applyBorder="1" applyAlignment="1">
      <alignment horizontal="left" vertical="top" wrapText="1"/>
    </xf>
    <xf numFmtId="0" fontId="1" fillId="2" borderId="10" xfId="0" applyFont="1" applyFill="1" applyBorder="1" applyAlignment="1">
      <alignment horizontal="left" vertical="top" wrapText="1"/>
    </xf>
    <xf numFmtId="0" fontId="1" fillId="2" borderId="14" xfId="0" applyFont="1" applyFill="1" applyBorder="1" applyAlignment="1">
      <alignment horizontal="left" vertical="top" wrapText="1"/>
    </xf>
    <xf numFmtId="0" fontId="1" fillId="2" borderId="15" xfId="0" applyFont="1" applyFill="1" applyBorder="1" applyAlignment="1">
      <alignment horizontal="left" vertical="top" wrapText="1"/>
    </xf>
    <xf numFmtId="0" fontId="17" fillId="3" borderId="13" xfId="0" applyFont="1" applyFill="1" applyBorder="1" applyAlignment="1">
      <alignment horizontal="center" vertical="top"/>
    </xf>
    <xf numFmtId="0" fontId="1" fillId="0" borderId="6" xfId="0" applyFont="1" applyBorder="1" applyAlignment="1">
      <alignment horizontal="left" vertical="top" wrapText="1"/>
    </xf>
    <xf numFmtId="0" fontId="1" fillId="0" borderId="9" xfId="0" applyFont="1" applyBorder="1" applyAlignment="1">
      <alignment horizontal="left" vertical="top" wrapText="1"/>
    </xf>
    <xf numFmtId="0" fontId="1" fillId="0" borderId="7" xfId="0" applyFont="1" applyBorder="1" applyAlignment="1">
      <alignment vertical="top" wrapText="1"/>
    </xf>
    <xf numFmtId="0" fontId="1" fillId="0" borderId="1" xfId="0" applyFont="1" applyBorder="1" applyAlignment="1">
      <alignment horizontal="left" vertical="top" wrapText="1"/>
    </xf>
    <xf numFmtId="0" fontId="1" fillId="0" borderId="2" xfId="0" applyFont="1" applyBorder="1" applyAlignment="1">
      <alignment horizontal="left" vertical="top" wrapText="1"/>
    </xf>
    <xf numFmtId="0" fontId="1" fillId="0" borderId="10" xfId="0" applyFont="1" applyBorder="1" applyAlignment="1">
      <alignment vertical="top" wrapText="1"/>
    </xf>
    <xf numFmtId="0" fontId="1" fillId="0" borderId="14" xfId="0" applyFont="1" applyBorder="1" applyAlignment="1">
      <alignment vertical="top" wrapText="1"/>
    </xf>
    <xf numFmtId="0" fontId="18" fillId="2" borderId="15" xfId="0" applyFont="1" applyFill="1" applyBorder="1" applyAlignment="1">
      <alignment horizontal="left" vertical="top" wrapText="1"/>
    </xf>
    <xf numFmtId="0" fontId="1" fillId="0" borderId="1" xfId="0" applyFont="1" applyBorder="1" applyAlignment="1">
      <alignment vertical="top" wrapText="1"/>
    </xf>
    <xf numFmtId="0" fontId="1" fillId="0" borderId="2" xfId="0" applyFont="1" applyBorder="1" applyAlignment="1">
      <alignment vertical="top" wrapText="1"/>
    </xf>
    <xf numFmtId="0" fontId="21" fillId="0" borderId="5" xfId="0" applyFont="1" applyBorder="1" applyAlignment="1">
      <alignment horizontal="left" vertical="top" wrapText="1"/>
    </xf>
    <xf numFmtId="0" fontId="21" fillId="0" borderId="0" xfId="0" applyFont="1" applyAlignment="1">
      <alignment horizontal="left" vertical="top" wrapText="1"/>
    </xf>
    <xf numFmtId="0" fontId="18" fillId="0" borderId="15" xfId="0" applyFont="1" applyBorder="1" applyAlignment="1">
      <alignment horizontal="left" vertical="top" wrapText="1"/>
    </xf>
    <xf numFmtId="0" fontId="1" fillId="2" borderId="1" xfId="0" applyFont="1" applyFill="1" applyBorder="1" applyAlignment="1">
      <alignment vertical="top"/>
    </xf>
    <xf numFmtId="0" fontId="1" fillId="2" borderId="2" xfId="0" applyFont="1" applyFill="1" applyBorder="1" applyAlignment="1">
      <alignment vertical="top"/>
    </xf>
    <xf numFmtId="0" fontId="1" fillId="2" borderId="3" xfId="0" applyFont="1" applyFill="1" applyBorder="1" applyAlignment="1">
      <alignment vertical="top"/>
    </xf>
    <xf numFmtId="0" fontId="1" fillId="0" borderId="10" xfId="0" applyFont="1" applyBorder="1" applyAlignment="1">
      <alignment vertical="top"/>
    </xf>
    <xf numFmtId="0" fontId="1" fillId="0" borderId="14" xfId="0" applyFont="1" applyBorder="1" applyAlignment="1">
      <alignment vertical="top"/>
    </xf>
    <xf numFmtId="0" fontId="1" fillId="0" borderId="15" xfId="0" applyFont="1" applyBorder="1" applyAlignment="1">
      <alignment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3.xml"/><Relationship Id="rId5" Type="http://schemas.openxmlformats.org/officeDocument/2006/relationships/worksheet" Target="worksheets/sheet1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317046</xdr:colOff>
      <xdr:row>0</xdr:row>
      <xdr:rowOff>163286</xdr:rowOff>
    </xdr:from>
    <xdr:to>
      <xdr:col>3</xdr:col>
      <xdr:colOff>0</xdr:colOff>
      <xdr:row>0</xdr:row>
      <xdr:rowOff>1427046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3.xml.rels><?xml version="1.0" encoding="UTF-8" standalone="yes"?>
<Relationships xmlns="http://schemas.openxmlformats.org/package/2006/relationships"><Relationship Id="rId1" Type="http://schemas.openxmlformats.org/officeDocument/2006/relationships/comments" Target="../comments13.xml"/><Relationship Id="rId2" Type="http://schemas.openxmlformats.org/officeDocument/2006/relationships/vmlDrawing" Target="../drawings/vmlDrawing13.vml"/><Relationship Id="rId3" Type="http://schemas.openxmlformats.org/officeDocument/2006/relationships/drawing" Target="../drawings/drawing1.xml"/></Relationships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82"/>
  <sheetViews>
    <sheetView workbookViewId="0" showGridLines="0" zoomScale="100" zoomScaleNormal="100">
      <selection activeCell="C56" sqref="C56"/>
    </sheetView>
  </sheetViews>
  <sheetFormatPr defaultRowHeight="13.2" outlineLevelRow="0" outlineLevelCol="0" x14ac:dyDescent="0.25" defaultColWidth="11.44140625" customHeight="1"/>
  <cols>
    <col min="1" max="1" width="30.33203125" style="262" customWidth="1"/>
    <col min="2" max="2" width="31.6640625" style="262" customWidth="1"/>
    <col min="3" max="3" width="94.6640625" style="262" customWidth="1"/>
    <col min="4" max="16384" width="11.44140625" style="262" customWidth="1"/>
  </cols>
  <sheetData>
    <row r="1" ht="45.6" customHeight="1" spans="1:3" x14ac:dyDescent="0.25">
      <c r="A1" s="263" t="s">
        <v>118</v>
      </c>
      <c r="B1" s="263"/>
      <c r="C1" s="263"/>
    </row>
    <row r="2" ht="18.75" customHeight="1" spans="1:3" x14ac:dyDescent="0.25">
      <c r="A2" s="264" t="s">
        <v>1</v>
      </c>
      <c r="B2" s="264"/>
      <c r="C2" s="264"/>
    </row>
    <row r="3" ht="18.75" customHeight="1" spans="1:3" x14ac:dyDescent="0.25">
      <c r="A3" s="265" t="s">
        <v>6</v>
      </c>
      <c r="B3" s="266"/>
      <c r="C3" s="267" t="s">
        <v>119</v>
      </c>
    </row>
    <row r="4" ht="16.5" customHeight="1" spans="1:3" x14ac:dyDescent="0.25">
      <c r="A4" s="268" t="s">
        <v>120</v>
      </c>
      <c r="B4" s="269"/>
      <c r="C4" s="270"/>
    </row>
    <row r="5" ht="18.75" customHeight="1" spans="1:3" x14ac:dyDescent="0.25">
      <c r="A5" s="271" t="s">
        <v>121</v>
      </c>
      <c r="B5" s="272"/>
      <c r="C5" s="273" t="s">
        <v>122</v>
      </c>
    </row>
    <row r="6" ht="18.75" customHeight="1" spans="1:3" x14ac:dyDescent="0.25">
      <c r="A6" s="274" t="s">
        <v>14</v>
      </c>
      <c r="B6" s="275"/>
      <c r="C6" s="276" t="s">
        <v>123</v>
      </c>
    </row>
    <row r="7" ht="18.75" customHeight="1" spans="1:3" x14ac:dyDescent="0.25">
      <c r="A7" s="277" t="s">
        <v>15</v>
      </c>
      <c r="B7" s="278"/>
      <c r="C7" s="279" t="s">
        <v>124</v>
      </c>
    </row>
    <row r="8" ht="18.75" customHeight="1" spans="1:3" x14ac:dyDescent="0.25">
      <c r="A8" s="274" t="s">
        <v>21</v>
      </c>
      <c r="B8" s="275"/>
      <c r="C8" s="276" t="s">
        <v>125</v>
      </c>
    </row>
    <row r="9" ht="18.75" customHeight="1" spans="1:3" x14ac:dyDescent="0.25">
      <c r="A9" s="280" t="s">
        <v>34</v>
      </c>
      <c r="B9" s="281"/>
      <c r="C9" s="282"/>
    </row>
    <row r="10" ht="30" customHeight="1" spans="1:3" x14ac:dyDescent="0.25">
      <c r="A10" s="283" t="s">
        <v>24</v>
      </c>
      <c r="C10" s="284" t="s">
        <v>126</v>
      </c>
    </row>
    <row r="11" ht="18.75" customHeight="1" spans="1:3" x14ac:dyDescent="0.25">
      <c r="A11" s="283" t="s">
        <v>25</v>
      </c>
      <c r="C11" s="285" t="s">
        <v>127</v>
      </c>
    </row>
    <row r="12" ht="18.75" customHeight="1" spans="1:3" x14ac:dyDescent="0.25">
      <c r="A12" s="283" t="s">
        <v>26</v>
      </c>
      <c r="C12" s="285" t="s">
        <v>128</v>
      </c>
    </row>
    <row r="13" ht="31.5" customHeight="1" spans="1:3" x14ac:dyDescent="0.25">
      <c r="A13" s="283" t="s">
        <v>27</v>
      </c>
      <c r="C13" s="286" t="s">
        <v>129</v>
      </c>
    </row>
    <row r="14" ht="19.5" customHeight="1" spans="1:3" x14ac:dyDescent="0.25">
      <c r="A14" s="283" t="s">
        <v>28</v>
      </c>
      <c r="C14" s="285" t="s">
        <v>130</v>
      </c>
    </row>
    <row r="15" ht="19.5" customHeight="1" spans="1:3" x14ac:dyDescent="0.25">
      <c r="A15" s="283" t="s">
        <v>29</v>
      </c>
      <c r="C15" s="287" t="s">
        <v>131</v>
      </c>
    </row>
    <row r="16" ht="19.5" customHeight="1" spans="1:3" x14ac:dyDescent="0.25">
      <c r="A16" s="283" t="s">
        <v>30</v>
      </c>
      <c r="C16" s="288" t="s">
        <v>132</v>
      </c>
    </row>
    <row r="17" ht="19.5" customHeight="1" spans="1:3" x14ac:dyDescent="0.25">
      <c r="A17" s="283" t="s">
        <v>31</v>
      </c>
      <c r="C17" s="287" t="s">
        <v>133</v>
      </c>
    </row>
    <row r="18" ht="19.5" customHeight="1" spans="1:3" x14ac:dyDescent="0.25">
      <c r="A18" s="283" t="s">
        <v>32</v>
      </c>
      <c r="C18" s="288" t="s">
        <v>134</v>
      </c>
    </row>
    <row r="19" ht="23.25" customHeight="1" spans="1:3" x14ac:dyDescent="0.25">
      <c r="A19" s="283" t="s">
        <v>33</v>
      </c>
      <c r="C19" s="285" t="s">
        <v>135</v>
      </c>
    </row>
    <row r="20" ht="39.75" customHeight="1" spans="1:3" x14ac:dyDescent="0.25">
      <c r="A20" s="280" t="s">
        <v>136</v>
      </c>
      <c r="B20" s="281"/>
      <c r="C20" s="289" t="s">
        <v>137</v>
      </c>
    </row>
    <row r="21" ht="28.5" customHeight="1" spans="1:3" x14ac:dyDescent="0.25">
      <c r="A21" s="283" t="s">
        <v>24</v>
      </c>
      <c r="C21" s="285" t="s">
        <v>138</v>
      </c>
    </row>
    <row r="22" ht="22.5" customHeight="1" spans="1:3" x14ac:dyDescent="0.25">
      <c r="A22" s="283" t="s">
        <v>139</v>
      </c>
      <c r="C22" s="284" t="s">
        <v>140</v>
      </c>
    </row>
    <row r="23" ht="22.5" customHeight="1" spans="1:3" x14ac:dyDescent="0.25">
      <c r="A23" s="283" t="s">
        <v>37</v>
      </c>
      <c r="C23" s="285" t="s">
        <v>141</v>
      </c>
    </row>
    <row r="24" ht="27.75" customHeight="1" spans="1:3" x14ac:dyDescent="0.25">
      <c r="A24" s="283" t="s">
        <v>27</v>
      </c>
      <c r="C24" s="286" t="s">
        <v>129</v>
      </c>
    </row>
    <row r="25" ht="22.5" customHeight="1" spans="1:3" x14ac:dyDescent="0.25">
      <c r="A25" s="283" t="s">
        <v>28</v>
      </c>
      <c r="C25" s="285" t="s">
        <v>142</v>
      </c>
    </row>
    <row r="26" ht="22.5" customHeight="1" spans="1:3" x14ac:dyDescent="0.25">
      <c r="A26" s="283" t="s">
        <v>143</v>
      </c>
      <c r="C26" s="287" t="s">
        <v>144</v>
      </c>
    </row>
    <row r="27" ht="22.5" customHeight="1" spans="1:3" x14ac:dyDescent="0.25">
      <c r="A27" s="283" t="s">
        <v>30</v>
      </c>
      <c r="C27" s="288" t="s">
        <v>132</v>
      </c>
    </row>
    <row r="28" ht="22.5" customHeight="1" spans="1:3" x14ac:dyDescent="0.25">
      <c r="A28" s="283" t="s">
        <v>31</v>
      </c>
      <c r="C28" s="287" t="s">
        <v>145</v>
      </c>
    </row>
    <row r="29" ht="22.5" customHeight="1" spans="1:3" x14ac:dyDescent="0.25">
      <c r="A29" s="283" t="s">
        <v>146</v>
      </c>
      <c r="C29" s="288" t="s">
        <v>147</v>
      </c>
    </row>
    <row r="30" ht="22.5" customHeight="1" spans="1:3" x14ac:dyDescent="0.25">
      <c r="A30" s="283" t="s">
        <v>38</v>
      </c>
      <c r="C30" s="285" t="s">
        <v>148</v>
      </c>
    </row>
    <row r="31" ht="18.75" customHeight="1" spans="1:3" x14ac:dyDescent="0.25">
      <c r="A31" s="283" t="s">
        <v>39</v>
      </c>
      <c r="C31" s="285" t="s">
        <v>149</v>
      </c>
    </row>
    <row r="32" ht="18.75" customHeight="1" spans="1:3" x14ac:dyDescent="0.25">
      <c r="A32" s="290" t="s">
        <v>40</v>
      </c>
      <c r="B32" s="290"/>
      <c r="C32" s="290"/>
    </row>
    <row r="33" ht="18.75" customHeight="1" spans="1:3" x14ac:dyDescent="0.25">
      <c r="A33" s="291" t="s">
        <v>41</v>
      </c>
      <c r="B33" s="292"/>
      <c r="C33" s="293" t="s">
        <v>150</v>
      </c>
    </row>
    <row r="34" ht="18.75" customHeight="1" spans="1:3" x14ac:dyDescent="0.25">
      <c r="A34" s="294" t="s">
        <v>151</v>
      </c>
      <c r="B34" s="295"/>
      <c r="C34" s="284"/>
    </row>
    <row r="35" ht="28.5" customHeight="1" spans="1:3" x14ac:dyDescent="0.25">
      <c r="A35" s="296" t="s">
        <v>152</v>
      </c>
      <c r="B35" s="297"/>
      <c r="C35" s="284" t="s">
        <v>153</v>
      </c>
    </row>
    <row r="36" ht="28.5" customHeight="1" spans="1:3" x14ac:dyDescent="0.25">
      <c r="A36" s="296" t="s">
        <v>43</v>
      </c>
      <c r="B36" s="297"/>
      <c r="C36" s="284" t="s">
        <v>154</v>
      </c>
    </row>
    <row r="37" ht="25.5" customHeight="1" spans="1:3" x14ac:dyDescent="0.25">
      <c r="A37" s="298" t="s">
        <v>155</v>
      </c>
      <c r="B37" s="299"/>
      <c r="C37" s="284" t="s">
        <v>156</v>
      </c>
    </row>
    <row r="38" ht="18.75" customHeight="1" spans="1:3" x14ac:dyDescent="0.25">
      <c r="A38" s="300" t="s">
        <v>48</v>
      </c>
      <c r="B38" s="301"/>
      <c r="C38" s="284"/>
    </row>
    <row r="39" ht="28.5" customHeight="1" spans="1:3" x14ac:dyDescent="0.25">
      <c r="A39" s="298" t="s">
        <v>52</v>
      </c>
      <c r="B39" s="299"/>
      <c r="C39" s="284" t="s">
        <v>157</v>
      </c>
    </row>
    <row r="40" ht="28.5" customHeight="1" spans="1:3" x14ac:dyDescent="0.25">
      <c r="A40" s="302" t="s">
        <v>53</v>
      </c>
      <c r="B40" s="299"/>
      <c r="C40" s="284" t="s">
        <v>158</v>
      </c>
    </row>
    <row r="41" ht="18.75" customHeight="1" spans="1:3" x14ac:dyDescent="0.25">
      <c r="A41" s="298" t="s">
        <v>159</v>
      </c>
      <c r="B41" s="299"/>
      <c r="C41" s="284" t="s">
        <v>160</v>
      </c>
    </row>
    <row r="42" ht="26.4" customHeight="1" spans="1:3" x14ac:dyDescent="0.25">
      <c r="A42" s="303" t="s">
        <v>55</v>
      </c>
      <c r="B42" s="304"/>
      <c r="C42" s="305" t="s">
        <v>161</v>
      </c>
    </row>
    <row r="43" ht="34.5" customHeight="1" spans="1:3" x14ac:dyDescent="0.25">
      <c r="A43" s="302" t="s">
        <v>56</v>
      </c>
      <c r="B43" s="304"/>
      <c r="C43" s="305" t="s">
        <v>162</v>
      </c>
    </row>
    <row r="44" ht="18.75" customHeight="1" spans="1:3" x14ac:dyDescent="0.25">
      <c r="A44" s="306" t="s">
        <v>57</v>
      </c>
      <c r="B44" s="299"/>
      <c r="C44" s="284"/>
    </row>
    <row r="45" ht="39.6" customHeight="1" spans="1:3" x14ac:dyDescent="0.25">
      <c r="A45" s="298" t="s">
        <v>58</v>
      </c>
      <c r="B45" s="299"/>
      <c r="C45" s="307" t="s">
        <v>163</v>
      </c>
    </row>
    <row r="46" ht="39.6" customHeight="1" spans="1:3" x14ac:dyDescent="0.25">
      <c r="A46" s="298" t="s">
        <v>59</v>
      </c>
      <c r="B46" s="299"/>
      <c r="C46" s="307" t="s">
        <v>164</v>
      </c>
    </row>
    <row r="47" ht="32.25" customHeight="1" spans="1:3" x14ac:dyDescent="0.25">
      <c r="A47" s="298" t="s">
        <v>60</v>
      </c>
      <c r="B47" s="299"/>
      <c r="C47" s="284" t="s">
        <v>165</v>
      </c>
    </row>
    <row r="48" ht="30.75" customHeight="1" spans="1:3" x14ac:dyDescent="0.25">
      <c r="A48" s="298" t="s">
        <v>61</v>
      </c>
      <c r="B48" s="299"/>
      <c r="C48" s="286" t="s">
        <v>129</v>
      </c>
    </row>
    <row r="49" ht="26.4" customHeight="1" spans="1:3" x14ac:dyDescent="0.25">
      <c r="A49" s="298" t="s">
        <v>62</v>
      </c>
      <c r="B49" s="299"/>
      <c r="C49" s="307" t="s">
        <v>166</v>
      </c>
    </row>
    <row r="50" ht="50.25" customHeight="1" spans="1:3" x14ac:dyDescent="0.25">
      <c r="A50" s="308" t="s">
        <v>167</v>
      </c>
      <c r="B50" s="309"/>
      <c r="C50" s="310" t="s">
        <v>168</v>
      </c>
    </row>
    <row r="51" ht="22.5" customHeight="1" spans="1:3" x14ac:dyDescent="0.25">
      <c r="A51" s="311" t="s">
        <v>65</v>
      </c>
      <c r="B51" s="312"/>
      <c r="C51" s="313"/>
    </row>
    <row r="52" ht="25.5" customHeight="1" spans="1:3" x14ac:dyDescent="0.25">
      <c r="A52" s="314" t="s">
        <v>66</v>
      </c>
      <c r="B52" s="312"/>
      <c r="C52" s="313" t="s">
        <v>169</v>
      </c>
    </row>
    <row r="53" ht="27" customHeight="1" spans="1:3" x14ac:dyDescent="0.25">
      <c r="A53" s="314" t="s">
        <v>67</v>
      </c>
      <c r="B53" s="312"/>
      <c r="C53" s="313" t="s">
        <v>170</v>
      </c>
    </row>
    <row r="54" ht="27" customHeight="1" spans="1:3" x14ac:dyDescent="0.25">
      <c r="A54" s="314" t="s">
        <v>68</v>
      </c>
      <c r="B54" s="312"/>
      <c r="C54" s="313" t="s">
        <v>171</v>
      </c>
    </row>
    <row r="55" ht="27" customHeight="1" spans="1:3" x14ac:dyDescent="0.25">
      <c r="A55" s="314" t="s">
        <v>172</v>
      </c>
      <c r="B55" s="312"/>
      <c r="C55" s="313" t="s">
        <v>173</v>
      </c>
    </row>
    <row r="56" ht="22.5" customHeight="1" spans="1:3" x14ac:dyDescent="0.25">
      <c r="A56" s="314" t="s">
        <v>63</v>
      </c>
      <c r="B56" s="312"/>
      <c r="C56" s="313" t="s">
        <v>174</v>
      </c>
    </row>
    <row r="57" ht="37.5" customHeight="1" spans="1:3" x14ac:dyDescent="0.25">
      <c r="A57" s="314" t="s">
        <v>70</v>
      </c>
      <c r="B57" s="312"/>
      <c r="C57" s="313" t="s">
        <v>175</v>
      </c>
    </row>
    <row r="58" ht="37.5" customHeight="1" spans="1:3" x14ac:dyDescent="0.25">
      <c r="A58" s="314" t="s">
        <v>71</v>
      </c>
      <c r="B58" s="312"/>
      <c r="C58" s="313" t="s">
        <v>176</v>
      </c>
    </row>
    <row r="59" ht="37.5" customHeight="1" spans="1:3" x14ac:dyDescent="0.25">
      <c r="A59" s="314" t="s">
        <v>72</v>
      </c>
      <c r="B59" s="312"/>
      <c r="C59" s="313" t="s">
        <v>177</v>
      </c>
    </row>
    <row r="60" ht="37.5" customHeight="1" spans="1:3" x14ac:dyDescent="0.25">
      <c r="A60" s="315" t="s">
        <v>73</v>
      </c>
      <c r="B60" s="316"/>
      <c r="C60" s="317" t="s">
        <v>178</v>
      </c>
    </row>
    <row r="61" ht="18.75" customHeight="1" spans="1:3" x14ac:dyDescent="0.25">
      <c r="A61" s="318" t="s">
        <v>74</v>
      </c>
      <c r="B61" s="318"/>
      <c r="C61" s="318"/>
    </row>
    <row r="62" ht="18.75" customHeight="1" spans="1:3" x14ac:dyDescent="0.25">
      <c r="A62" s="319" t="s">
        <v>179</v>
      </c>
      <c r="B62" s="320"/>
      <c r="C62" s="321" t="s">
        <v>180</v>
      </c>
    </row>
    <row r="63" ht="18.75" customHeight="1" spans="1:3" x14ac:dyDescent="0.25">
      <c r="A63" s="264" t="s">
        <v>83</v>
      </c>
      <c r="B63" s="264"/>
      <c r="C63" s="290"/>
    </row>
    <row r="64" ht="34.5" customHeight="1" spans="1:3" x14ac:dyDescent="0.25">
      <c r="A64" s="322" t="s">
        <v>181</v>
      </c>
      <c r="B64" s="323"/>
      <c r="C64" s="284" t="s">
        <v>182</v>
      </c>
    </row>
    <row r="65" ht="36" customHeight="1" spans="1:3" x14ac:dyDescent="0.25">
      <c r="A65" s="308" t="s">
        <v>183</v>
      </c>
      <c r="B65" s="309"/>
      <c r="C65" s="284" t="s">
        <v>184</v>
      </c>
    </row>
    <row r="66" ht="18.75" customHeight="1" spans="1:3" x14ac:dyDescent="0.25">
      <c r="A66" s="298" t="s">
        <v>86</v>
      </c>
      <c r="B66" s="299"/>
      <c r="C66" s="284" t="s">
        <v>185</v>
      </c>
    </row>
    <row r="67" ht="18.75" customHeight="1" spans="1:3" x14ac:dyDescent="0.25">
      <c r="A67" s="298" t="s">
        <v>87</v>
      </c>
      <c r="B67" s="299"/>
      <c r="C67" s="284" t="s">
        <v>186</v>
      </c>
    </row>
    <row r="68" ht="31.5" customHeight="1" spans="1:3" x14ac:dyDescent="0.25">
      <c r="A68" s="298" t="s">
        <v>88</v>
      </c>
      <c r="B68" s="299"/>
      <c r="C68" s="305" t="s">
        <v>187</v>
      </c>
    </row>
    <row r="69" ht="18.75" customHeight="1" spans="1:3" x14ac:dyDescent="0.25">
      <c r="A69" s="308" t="s">
        <v>89</v>
      </c>
      <c r="B69" s="299"/>
      <c r="C69" s="284" t="s">
        <v>188</v>
      </c>
    </row>
    <row r="70" ht="42.75" customHeight="1" spans="1:3" x14ac:dyDescent="0.25">
      <c r="A70" s="324" t="s">
        <v>189</v>
      </c>
      <c r="B70" s="325"/>
      <c r="C70" s="326" t="s">
        <v>190</v>
      </c>
    </row>
    <row r="71" ht="18" customHeight="1" spans="1:3" x14ac:dyDescent="0.25">
      <c r="A71" s="264" t="s">
        <v>91</v>
      </c>
      <c r="B71" s="264"/>
      <c r="C71" s="264"/>
    </row>
    <row r="72" ht="18.75" customHeight="1" spans="1:3" x14ac:dyDescent="0.25">
      <c r="A72" s="327" t="s">
        <v>191</v>
      </c>
      <c r="B72" s="328"/>
      <c r="C72" s="289" t="s">
        <v>192</v>
      </c>
    </row>
    <row r="73" ht="18.75" customHeight="1" spans="1:3" x14ac:dyDescent="0.25">
      <c r="A73" s="329" t="s">
        <v>96</v>
      </c>
      <c r="B73" s="330"/>
      <c r="C73" s="284" t="s">
        <v>193</v>
      </c>
    </row>
    <row r="74" ht="18.75" customHeight="1" spans="1:3" x14ac:dyDescent="0.25">
      <c r="A74" s="298" t="s">
        <v>194</v>
      </c>
      <c r="B74" s="299"/>
      <c r="C74" s="284" t="s">
        <v>195</v>
      </c>
    </row>
    <row r="75" ht="28.5" customHeight="1" spans="1:3" x14ac:dyDescent="0.25">
      <c r="A75" s="324" t="s">
        <v>101</v>
      </c>
      <c r="B75" s="325"/>
      <c r="C75" s="331" t="s">
        <v>196</v>
      </c>
    </row>
    <row r="76" ht="15.6" customHeight="1" spans="1:3" x14ac:dyDescent="0.25">
      <c r="A76" s="264" t="s">
        <v>197</v>
      </c>
      <c r="B76" s="264"/>
      <c r="C76" s="264"/>
    </row>
    <row r="77" spans="1:3" x14ac:dyDescent="0.25">
      <c r="A77" s="332"/>
      <c r="B77" s="333"/>
      <c r="C77" s="334"/>
    </row>
    <row r="78" spans="1:3" x14ac:dyDescent="0.25">
      <c r="A78" s="283" t="s">
        <v>198</v>
      </c>
      <c r="C78" s="285"/>
    </row>
    <row r="79" ht="6.75" customHeight="1" spans="1:3" x14ac:dyDescent="0.25">
      <c r="A79" s="283"/>
      <c r="C79" s="285"/>
    </row>
    <row r="80" spans="1:3" x14ac:dyDescent="0.25">
      <c r="A80" s="283" t="s">
        <v>199</v>
      </c>
      <c r="C80" s="285"/>
    </row>
    <row r="81" ht="7.5" customHeight="1" spans="1:3" x14ac:dyDescent="0.25">
      <c r="A81" s="283"/>
      <c r="C81" s="285"/>
    </row>
    <row r="82" spans="1:3" x14ac:dyDescent="0.25">
      <c r="A82" s="335" t="s">
        <v>200</v>
      </c>
      <c r="B82" s="336"/>
      <c r="C82" s="337"/>
    </row>
  </sheetData>
  <mergeCells count="12">
    <mergeCell ref="A1:C1"/>
    <mergeCell ref="A2:C2"/>
    <mergeCell ref="A32:C32"/>
    <mergeCell ref="A38:B38"/>
    <mergeCell ref="A61:C61"/>
    <mergeCell ref="A62:B62"/>
    <mergeCell ref="A63:C63"/>
    <mergeCell ref="A64:B64"/>
    <mergeCell ref="A65:B65"/>
    <mergeCell ref="A71:C71"/>
    <mergeCell ref="A73:B73"/>
    <mergeCell ref="A76:C76"/>
  </mergeCells>
  <pageMargins left="0.7086614173228347" right="0.7086614173228347" top="0.7480314960629921" bottom="0.7480314960629921" header="0.31496062992125984" footer="0.31496062992125984"/>
  <pageSetup orientation="portrait" horizontalDpi="4294967295" verticalDpi="4294967295" scale="58" fitToWidth="1" fitToHeight="1" firstPageNumber="1" useFirstPageNumber="1" copies="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U1893"/>
  <sheetViews>
    <sheetView workbookViewId="0" showGridLines="0" zoomScale="100" zoomScaleNormal="80" view="pageBreakPreview">
      <selection activeCell="H8" sqref="H8"/>
    </sheetView>
  </sheetViews>
  <sheetFormatPr defaultRowHeight="13.2" outlineLevelRow="0" outlineLevelCol="0" x14ac:dyDescent="0.25" defaultColWidth="11.44140625" customHeight="1"/>
  <cols>
    <col min="1" max="1" width="19.88671875" style="1" customWidth="1"/>
    <col min="2" max="2" width="15" style="1" customWidth="1"/>
    <col min="3" max="3" width="25.5546875" style="1" customWidth="1"/>
    <col min="4" max="4" width="25.109375" style="1" customWidth="1"/>
    <col min="5" max="5" width="20.6640625" style="1" customWidth="1"/>
    <col min="6" max="6" width="25.88671875" style="1" customWidth="1"/>
    <col min="7" max="7" width="20.109375" style="1" customWidth="1"/>
    <col min="8" max="8" width="23" style="1" customWidth="1"/>
    <col min="9" max="9" width="20.44140625" style="1" customWidth="1"/>
    <col min="10" max="10" width="22" style="1" customWidth="1"/>
    <col min="11" max="11" width="20.44140625" style="1" customWidth="1"/>
    <col min="12" max="12" width="27.33203125" style="1" customWidth="1"/>
    <col min="13" max="13" width="8.109375" style="1" customWidth="1"/>
    <col min="14" max="14" width="8.109375" style="2" customWidth="1"/>
    <col min="15" max="15" width="8.109375" style="1" customWidth="1"/>
    <col min="16" max="28" width="11.44140625" style="1" customWidth="1"/>
    <col min="29" max="34" style="1" hidden="1" customWidth="1"/>
    <col min="35" max="72" width="11.44140625" style="1" customWidth="1"/>
    <col min="73" max="73" width="26.5546875" style="1" customWidth="1"/>
    <col min="74" max="16384" width="11.44140625" style="1" customWidth="1"/>
  </cols>
  <sheetData>
    <row r="1" ht="117.9" customHeight="1" spans="1:11" x14ac:dyDescent="0.25">
      <c r="A1" s="3" t="s">
        <v>0</v>
      </c>
      <c r="B1" s="4"/>
      <c r="C1" s="4"/>
      <c r="D1" s="4"/>
      <c r="E1" s="4"/>
      <c r="F1" s="4"/>
      <c r="G1" s="4"/>
      <c r="H1" s="4"/>
      <c r="I1" s="4"/>
      <c r="J1" s="4"/>
      <c r="K1" s="5"/>
    </row>
    <row r="2" ht="22.5" customHeight="1" spans="1:31" s="6" customFormat="1" x14ac:dyDescent="0.25">
      <c r="A2" s="7" t="s">
        <v>1</v>
      </c>
      <c r="B2" s="7"/>
      <c r="C2" s="7"/>
      <c r="D2" s="7"/>
      <c r="E2" s="7"/>
      <c r="F2" s="7"/>
      <c r="G2" s="7"/>
      <c r="H2" s="7"/>
      <c r="I2" s="7"/>
      <c r="J2" s="7"/>
      <c r="K2" s="7"/>
      <c r="AC2" s="6" t="s">
        <v>2</v>
      </c>
      <c r="AE2" s="6" t="s">
        <v>3</v>
      </c>
    </row>
    <row r="3" ht="13.8" customHeight="1" spans="1:31" x14ac:dyDescent="0.25">
      <c r="A3" s="8"/>
      <c r="B3" s="9"/>
      <c r="C3" s="10"/>
      <c r="D3" s="10"/>
      <c r="E3" s="10"/>
      <c r="F3" s="10"/>
      <c r="G3" s="10"/>
      <c r="H3" s="10"/>
      <c r="I3" s="10"/>
      <c r="J3" s="10"/>
      <c r="K3" s="11"/>
      <c r="N3" s="1"/>
      <c r="AC3" s="1" t="s">
        <v>4</v>
      </c>
      <c r="AE3" s="1" t="s">
        <v>5</v>
      </c>
    </row>
    <row r="4" ht="15.75" customHeight="1" spans="1:31" x14ac:dyDescent="0.25">
      <c r="A4" s="12" t="s">
        <v>6</v>
      </c>
      <c r="B4" s="13"/>
      <c r="C4" s="14"/>
      <c r="D4" s="15"/>
      <c r="E4" s="16" t="s">
        <v>7</v>
      </c>
      <c r="F4" s="17" t="s">
        <v>8</v>
      </c>
      <c r="G4" s="18" t="s">
        <v>9</v>
      </c>
      <c r="H4" s="14"/>
      <c r="I4" s="15"/>
      <c r="J4" s="17"/>
      <c r="K4" s="19"/>
      <c r="AC4" s="1" t="s">
        <v>10</v>
      </c>
      <c r="AE4" s="1" t="s">
        <v>11</v>
      </c>
    </row>
    <row r="5" ht="15.75" customHeight="1" spans="1:31" x14ac:dyDescent="0.25">
      <c r="A5" s="12"/>
      <c r="B5" s="13"/>
      <c r="C5" s="20"/>
      <c r="D5" s="20"/>
      <c r="E5" s="20"/>
      <c r="F5" s="20"/>
      <c r="G5" s="20"/>
      <c r="H5" s="20"/>
      <c r="I5" s="17"/>
      <c r="J5" s="17"/>
      <c r="K5" s="19"/>
      <c r="AC5" s="1" t="s">
        <v>12</v>
      </c>
      <c r="AE5" s="1" t="s">
        <v>13</v>
      </c>
    </row>
    <row r="6" ht="15.75" customHeight="1" spans="1:31" x14ac:dyDescent="0.25">
      <c r="A6" s="12" t="s">
        <v>14</v>
      </c>
      <c r="B6" s="13"/>
      <c r="C6" s="21"/>
      <c r="D6" s="22"/>
      <c r="E6" s="23" t="s">
        <v>15</v>
      </c>
      <c r="F6" s="24"/>
      <c r="G6" s="25"/>
      <c r="H6" s="25"/>
      <c r="I6" s="25"/>
      <c r="J6" s="17"/>
      <c r="K6" s="19"/>
      <c r="AE6" s="1" t="s">
        <v>16</v>
      </c>
    </row>
    <row r="7" ht="15.75" customHeight="1" spans="1:31" x14ac:dyDescent="0.25">
      <c r="A7" s="26"/>
      <c r="B7" s="17"/>
      <c r="C7" s="17"/>
      <c r="D7" s="17"/>
      <c r="E7" s="17"/>
      <c r="F7" s="17"/>
      <c r="G7" s="17"/>
      <c r="H7" s="20"/>
      <c r="I7" s="20"/>
      <c r="J7" s="20"/>
      <c r="K7" s="27"/>
      <c r="AE7" s="1" t="s">
        <v>17</v>
      </c>
    </row>
    <row r="8" ht="15.75" customHeight="1" spans="1:31" x14ac:dyDescent="0.25">
      <c r="A8" s="28" t="s">
        <v>18</v>
      </c>
      <c r="B8" s="17"/>
      <c r="C8" s="29"/>
      <c r="D8" s="30"/>
      <c r="E8" s="31"/>
      <c r="F8" s="17"/>
      <c r="G8" s="18" t="s">
        <v>9</v>
      </c>
      <c r="H8" s="14"/>
      <c r="I8" s="15"/>
      <c r="J8" s="20"/>
      <c r="K8" s="27"/>
      <c r="AE8" s="1" t="s">
        <v>19</v>
      </c>
    </row>
    <row r="9" ht="14.25" customHeight="1" spans="1:31" x14ac:dyDescent="0.25">
      <c r="A9" s="32"/>
      <c r="B9" s="33"/>
      <c r="C9" s="34"/>
      <c r="D9" s="34"/>
      <c r="E9" s="35"/>
      <c r="F9" s="35"/>
      <c r="G9" s="36"/>
      <c r="H9" s="36"/>
      <c r="I9" s="36"/>
      <c r="J9" s="36"/>
      <c r="K9" s="37"/>
      <c r="AE9" s="1" t="s">
        <v>20</v>
      </c>
    </row>
    <row r="10" ht="14.25" customHeight="1" spans="1:31" x14ac:dyDescent="0.25">
      <c r="A10" s="38" t="s">
        <v>21</v>
      </c>
      <c r="B10" s="39"/>
      <c r="C10" s="40"/>
      <c r="D10" s="40"/>
      <c r="E10" s="40"/>
      <c r="F10" s="40"/>
      <c r="G10" s="40"/>
      <c r="H10" s="40"/>
      <c r="I10" s="40"/>
      <c r="J10" s="40"/>
      <c r="K10" s="41"/>
      <c r="N10" s="42"/>
      <c r="AE10" s="1" t="s">
        <v>22</v>
      </c>
    </row>
    <row r="11" ht="14.25" customHeight="1" spans="1:31" x14ac:dyDescent="0.25">
      <c r="A11" s="43"/>
      <c r="B11" s="44"/>
      <c r="C11" s="45"/>
      <c r="D11" s="45"/>
      <c r="E11" s="45"/>
      <c r="F11" s="45"/>
      <c r="G11" s="45"/>
      <c r="H11" s="45"/>
      <c r="I11" s="45"/>
      <c r="J11" s="45"/>
      <c r="K11" s="46"/>
      <c r="N11" s="42"/>
      <c r="AE11" s="1" t="s">
        <v>23</v>
      </c>
    </row>
    <row r="12" spans="1:14" x14ac:dyDescent="0.25">
      <c r="A12" s="43"/>
      <c r="B12" s="44"/>
      <c r="C12" s="45"/>
      <c r="D12" s="45"/>
      <c r="E12" s="45"/>
      <c r="F12" s="45"/>
      <c r="G12" s="45"/>
      <c r="H12" s="45"/>
      <c r="I12" s="45"/>
      <c r="J12" s="45"/>
      <c r="K12" s="46"/>
      <c r="N12" s="42"/>
    </row>
    <row r="13" spans="1:14" x14ac:dyDescent="0.25">
      <c r="A13" s="47"/>
      <c r="B13" s="44"/>
      <c r="C13" s="45"/>
      <c r="D13" s="45"/>
      <c r="E13" s="45"/>
      <c r="F13" s="45"/>
      <c r="G13" s="45"/>
      <c r="H13" s="45"/>
      <c r="I13" s="45"/>
      <c r="J13" s="45"/>
      <c r="K13" s="46"/>
      <c r="N13" s="42"/>
    </row>
    <row r="14" ht="57" customHeight="1" spans="1:14" s="48" customFormat="1" x14ac:dyDescent="0.25">
      <c r="A14" s="49"/>
      <c r="B14" s="50" t="s">
        <v>24</v>
      </c>
      <c r="C14" s="50" t="s">
        <v>25</v>
      </c>
      <c r="D14" s="50" t="s">
        <v>26</v>
      </c>
      <c r="E14" s="50" t="s">
        <v>27</v>
      </c>
      <c r="F14" s="50" t="s">
        <v>28</v>
      </c>
      <c r="G14" s="50" t="s">
        <v>29</v>
      </c>
      <c r="H14" s="50" t="s">
        <v>30</v>
      </c>
      <c r="I14" s="50" t="s">
        <v>31</v>
      </c>
      <c r="J14" s="50" t="s">
        <v>32</v>
      </c>
      <c r="K14" s="51" t="s">
        <v>33</v>
      </c>
      <c r="L14" s="52"/>
      <c r="N14" s="53"/>
    </row>
    <row r="15" ht="42" customHeight="1" spans="1:14" s="54" customFormat="1" x14ac:dyDescent="0.25">
      <c r="A15" s="55" t="s">
        <v>34</v>
      </c>
      <c r="B15" s="56"/>
      <c r="C15" s="57"/>
      <c r="D15" s="57"/>
      <c r="E15" s="58"/>
      <c r="F15" s="59"/>
      <c r="G15" s="59"/>
      <c r="H15" s="60"/>
      <c r="I15" s="59"/>
      <c r="J15" s="60"/>
      <c r="K15" s="60"/>
      <c r="L15" s="52"/>
      <c r="N15" s="61"/>
    </row>
    <row r="16" ht="43.5" customHeight="1" spans="1:14" s="54" customFormat="1" x14ac:dyDescent="0.25">
      <c r="A16" s="55"/>
      <c r="B16" s="62"/>
      <c r="C16" s="63"/>
      <c r="D16" s="63"/>
      <c r="E16" s="58"/>
      <c r="F16" s="59"/>
      <c r="G16" s="59"/>
      <c r="H16" s="60"/>
      <c r="I16" s="59"/>
      <c r="J16" s="60"/>
      <c r="K16" s="60"/>
      <c r="L16" s="52"/>
      <c r="N16" s="61"/>
    </row>
    <row r="17" ht="60" customHeight="1" spans="1:14" s="54" customFormat="1" x14ac:dyDescent="0.25">
      <c r="A17" s="64" t="s">
        <v>35</v>
      </c>
      <c r="B17" s="65" t="s">
        <v>24</v>
      </c>
      <c r="C17" s="65" t="s">
        <v>36</v>
      </c>
      <c r="D17" s="65" t="s">
        <v>37</v>
      </c>
      <c r="E17" s="65" t="s">
        <v>27</v>
      </c>
      <c r="F17" s="65" t="s">
        <v>28</v>
      </c>
      <c r="G17" s="65" t="s">
        <v>29</v>
      </c>
      <c r="H17" s="65" t="s">
        <v>30</v>
      </c>
      <c r="I17" s="65" t="s">
        <v>31</v>
      </c>
      <c r="J17" s="65" t="s">
        <v>32</v>
      </c>
      <c r="K17" s="66" t="s">
        <v>38</v>
      </c>
      <c r="N17" s="61"/>
    </row>
    <row r="18" ht="15.75" customHeight="1" spans="1:12" x14ac:dyDescent="0.25">
      <c r="A18" s="67">
        <v>1</v>
      </c>
      <c r="B18" s="68"/>
      <c r="C18" s="68"/>
      <c r="D18" s="68"/>
      <c r="E18" s="58"/>
      <c r="F18" s="69"/>
      <c r="G18" s="69"/>
      <c r="H18" s="70"/>
      <c r="I18" s="69"/>
      <c r="J18" s="70"/>
      <c r="K18" s="70"/>
      <c r="L18" s="54"/>
    </row>
    <row r="19" ht="15.75" customHeight="1" spans="1:11" x14ac:dyDescent="0.25">
      <c r="A19" s="67">
        <v>2</v>
      </c>
      <c r="B19" s="68"/>
      <c r="C19" s="68"/>
      <c r="D19" s="68"/>
      <c r="E19" s="58"/>
      <c r="F19" s="69"/>
      <c r="G19" s="69"/>
      <c r="H19" s="70"/>
      <c r="I19" s="69"/>
      <c r="J19" s="70"/>
      <c r="K19" s="70"/>
    </row>
    <row r="20" ht="15.75" customHeight="1" spans="1:11" x14ac:dyDescent="0.25">
      <c r="A20" s="67">
        <v>3</v>
      </c>
      <c r="B20" s="68"/>
      <c r="C20" s="68"/>
      <c r="D20" s="68"/>
      <c r="E20" s="58"/>
      <c r="F20" s="69"/>
      <c r="G20" s="69"/>
      <c r="H20" s="70"/>
      <c r="I20" s="69"/>
      <c r="J20" s="70"/>
      <c r="K20" s="70"/>
    </row>
    <row r="21" ht="15.75" customHeight="1" spans="1:11" x14ac:dyDescent="0.25">
      <c r="A21" s="67">
        <v>4</v>
      </c>
      <c r="B21" s="68"/>
      <c r="C21" s="68"/>
      <c r="D21" s="68"/>
      <c r="E21" s="58"/>
      <c r="F21" s="69"/>
      <c r="G21" s="69"/>
      <c r="H21" s="70"/>
      <c r="I21" s="69"/>
      <c r="J21" s="70"/>
      <c r="K21" s="70"/>
    </row>
    <row r="22" ht="15.75" customHeight="1" spans="1:11" x14ac:dyDescent="0.25">
      <c r="A22" s="67">
        <v>5</v>
      </c>
      <c r="B22" s="68"/>
      <c r="C22" s="68"/>
      <c r="D22" s="68"/>
      <c r="E22" s="58"/>
      <c r="F22" s="69"/>
      <c r="G22" s="69"/>
      <c r="H22" s="70"/>
      <c r="I22" s="69"/>
      <c r="J22" s="70"/>
      <c r="K22" s="70"/>
    </row>
    <row r="23" ht="15.75" customHeight="1" spans="1:11" x14ac:dyDescent="0.25">
      <c r="A23" s="67"/>
      <c r="B23" s="71"/>
      <c r="C23" s="71"/>
      <c r="D23" s="17"/>
      <c r="E23" s="17"/>
      <c r="F23" s="72"/>
      <c r="G23" s="73" t="s">
        <v>39</v>
      </c>
      <c r="H23" s="74"/>
      <c r="I23" s="74"/>
      <c r="J23" s="75"/>
      <c r="K23" s="76"/>
    </row>
    <row r="24" ht="11.25" customHeight="1" spans="1:11" x14ac:dyDescent="0.25">
      <c r="A24" s="77"/>
      <c r="B24" s="78"/>
      <c r="C24" s="78"/>
      <c r="D24" s="78"/>
      <c r="E24" s="78"/>
      <c r="F24" s="78"/>
      <c r="G24" s="78"/>
      <c r="H24" s="78"/>
      <c r="I24" s="79"/>
      <c r="J24" s="79"/>
      <c r="K24" s="80"/>
    </row>
    <row r="25" ht="21.75" customHeight="1" spans="1:14" x14ac:dyDescent="0.25">
      <c r="A25" s="81" t="s">
        <v>40</v>
      </c>
      <c r="B25" s="82"/>
      <c r="C25" s="82"/>
      <c r="D25" s="82"/>
      <c r="E25" s="82"/>
      <c r="F25" s="82"/>
      <c r="G25" s="82"/>
      <c r="H25" s="82"/>
      <c r="I25" s="82"/>
      <c r="J25" s="82"/>
      <c r="K25" s="83"/>
      <c r="N25" s="42"/>
    </row>
    <row r="26" ht="13.8" customHeight="1" spans="1:14" x14ac:dyDescent="0.25">
      <c r="A26" s="84"/>
      <c r="B26" s="85"/>
      <c r="C26" s="85"/>
      <c r="D26" s="85"/>
      <c r="E26" s="85"/>
      <c r="F26" s="85"/>
      <c r="G26" s="85"/>
      <c r="H26" s="85"/>
      <c r="I26" s="85"/>
      <c r="J26" s="85"/>
      <c r="K26" s="86"/>
      <c r="N26" s="42"/>
    </row>
    <row r="27" ht="21.75" customHeight="1" spans="1:14" x14ac:dyDescent="0.25">
      <c r="A27" s="26"/>
      <c r="B27" s="17"/>
      <c r="C27" s="85"/>
      <c r="D27" s="87" t="s">
        <v>41</v>
      </c>
      <c r="E27" s="88"/>
      <c r="F27" s="85"/>
      <c r="G27" s="85"/>
      <c r="H27" s="85"/>
      <c r="I27" s="85"/>
      <c r="J27" s="85"/>
      <c r="K27" s="86"/>
      <c r="N27" s="42"/>
    </row>
    <row r="28" ht="13.8" customHeight="1" spans="1:14" x14ac:dyDescent="0.25">
      <c r="A28" s="84"/>
      <c r="B28" s="85"/>
      <c r="C28" s="85"/>
      <c r="D28" s="85"/>
      <c r="E28" s="85"/>
      <c r="F28" s="85"/>
      <c r="G28" s="85"/>
      <c r="H28" s="85"/>
      <c r="I28" s="85"/>
      <c r="J28" s="85"/>
      <c r="K28" s="86"/>
      <c r="N28" s="42"/>
    </row>
    <row r="29" ht="17.25" customHeight="1" spans="1:26" x14ac:dyDescent="0.25">
      <c r="A29" s="12" t="s">
        <v>42</v>
      </c>
      <c r="B29" s="13"/>
      <c r="C29" s="89"/>
      <c r="D29" s="89"/>
      <c r="E29" s="85"/>
      <c r="F29" s="16" t="s">
        <v>43</v>
      </c>
      <c r="G29" s="89"/>
      <c r="H29" s="89"/>
      <c r="I29" s="89"/>
      <c r="J29" s="85"/>
      <c r="K29" s="86"/>
      <c r="L29" s="54"/>
      <c r="Z29" s="90"/>
    </row>
    <row r="30" ht="9" customHeight="1" spans="1:26" x14ac:dyDescent="0.25">
      <c r="A30" s="91"/>
      <c r="B30" s="92"/>
      <c r="C30" s="93"/>
      <c r="D30" s="93"/>
      <c r="E30" s="93"/>
      <c r="F30" s="93"/>
      <c r="G30" s="94"/>
      <c r="H30" s="93"/>
      <c r="I30" s="93"/>
      <c r="J30" s="85"/>
      <c r="K30" s="86"/>
      <c r="N30" s="2"/>
      <c r="Z30" s="90"/>
    </row>
    <row r="31" ht="15.75" customHeight="1" spans="1:26" x14ac:dyDescent="0.25">
      <c r="A31" s="12" t="s">
        <v>44</v>
      </c>
      <c r="B31" s="13"/>
      <c r="C31" s="95">
        <v>112235</v>
      </c>
      <c r="D31" s="95"/>
      <c r="E31" s="95"/>
      <c r="F31" s="95"/>
      <c r="G31" s="95"/>
      <c r="H31" s="95"/>
      <c r="I31" s="95"/>
      <c r="J31" s="96"/>
      <c r="K31" s="86"/>
      <c r="Z31" s="90"/>
    </row>
    <row r="32" ht="15.75" customHeight="1" spans="1:26" x14ac:dyDescent="0.25">
      <c r="A32" s="12" t="s">
        <v>45</v>
      </c>
      <c r="B32" s="13"/>
      <c r="C32" s="95" t="s">
        <v>46</v>
      </c>
      <c r="D32" s="97"/>
      <c r="E32" s="95"/>
      <c r="F32" s="95"/>
      <c r="G32" s="95"/>
      <c r="H32" s="95"/>
      <c r="I32" s="95"/>
      <c r="J32" s="96"/>
      <c r="K32" s="86"/>
      <c r="Z32" s="90"/>
    </row>
    <row r="33" ht="15.75" customHeight="1" spans="1:26" x14ac:dyDescent="0.25">
      <c r="A33" s="91" t="s">
        <v>47</v>
      </c>
      <c r="B33" s="92"/>
      <c r="C33" s="97"/>
      <c r="E33" s="97"/>
      <c r="F33" s="97"/>
      <c r="G33" s="97"/>
      <c r="H33" s="97"/>
      <c r="I33" s="97"/>
      <c r="J33" s="85"/>
      <c r="K33" s="86"/>
      <c r="N33" s="2"/>
      <c r="Z33" s="90"/>
    </row>
    <row r="34" ht="20.25" customHeight="1" spans="1:26" x14ac:dyDescent="0.25">
      <c r="A34" s="98"/>
      <c r="B34" s="99"/>
      <c r="C34" s="99"/>
      <c r="D34" s="99"/>
      <c r="E34" s="99"/>
      <c r="F34" s="99"/>
      <c r="G34" s="97"/>
      <c r="H34" s="97"/>
      <c r="I34" s="97"/>
      <c r="J34" s="97"/>
      <c r="K34" s="100"/>
      <c r="N34" s="2"/>
      <c r="Z34" s="90"/>
    </row>
    <row r="35" ht="42" customHeight="1" spans="1:26" x14ac:dyDescent="0.25">
      <c r="A35" s="26"/>
      <c r="B35" s="17"/>
      <c r="C35" s="17"/>
      <c r="D35" s="101" t="s">
        <v>48</v>
      </c>
      <c r="E35" s="101"/>
      <c r="F35" s="102" t="s">
        <v>49</v>
      </c>
      <c r="G35" s="102" t="s">
        <v>50</v>
      </c>
      <c r="H35" s="102" t="s">
        <v>51</v>
      </c>
      <c r="I35" s="97"/>
      <c r="J35" s="97"/>
      <c r="K35" s="100"/>
      <c r="N35" s="2"/>
      <c r="Z35" s="90"/>
    </row>
    <row r="36" ht="20.25" customHeight="1" spans="1:26" x14ac:dyDescent="0.25">
      <c r="A36" s="26"/>
      <c r="B36" s="17"/>
      <c r="C36" s="17"/>
      <c r="D36" s="103" t="s">
        <v>52</v>
      </c>
      <c r="E36" s="104"/>
      <c r="F36" s="105"/>
      <c r="G36" s="105"/>
      <c r="H36" s="105"/>
      <c r="I36" s="97"/>
      <c r="J36" s="97"/>
      <c r="K36" s="100"/>
      <c r="N36" s="2"/>
      <c r="Z36" s="90"/>
    </row>
    <row r="37" ht="20.25" customHeight="1" spans="1:73" x14ac:dyDescent="0.25">
      <c r="A37" s="26"/>
      <c r="B37" s="17"/>
      <c r="C37" s="17"/>
      <c r="D37" s="106" t="s">
        <v>53</v>
      </c>
      <c r="E37" s="107"/>
      <c r="F37" s="108"/>
      <c r="G37" s="108"/>
      <c r="H37" s="108"/>
      <c r="I37" s="97"/>
      <c r="J37" s="97"/>
      <c r="K37" s="100"/>
      <c r="N37" s="2"/>
      <c r="Z37" s="90"/>
      <c r="BU37" s="109">
        <v>44927</v>
      </c>
    </row>
    <row r="38" ht="20.25" customHeight="1" spans="1:73" x14ac:dyDescent="0.25">
      <c r="A38" s="26"/>
      <c r="B38" s="17"/>
      <c r="C38" s="17"/>
      <c r="D38" s="103" t="s">
        <v>54</v>
      </c>
      <c r="E38" s="104"/>
      <c r="F38" s="108"/>
      <c r="G38" s="108"/>
      <c r="H38" s="108"/>
      <c r="I38" s="97"/>
      <c r="J38" s="97"/>
      <c r="K38" s="100"/>
      <c r="N38" s="2"/>
      <c r="Z38" s="90"/>
      <c r="BU38" s="109">
        <v>44928</v>
      </c>
    </row>
    <row r="39" ht="20.25" customHeight="1" spans="1:73" x14ac:dyDescent="0.25">
      <c r="A39" s="26"/>
      <c r="B39" s="17"/>
      <c r="C39" s="17"/>
      <c r="D39" s="106" t="s">
        <v>55</v>
      </c>
      <c r="E39" s="107"/>
      <c r="F39" s="110"/>
      <c r="G39" s="110"/>
      <c r="H39" s="110"/>
      <c r="I39" s="97"/>
      <c r="J39" s="97"/>
      <c r="K39" s="100"/>
      <c r="N39" s="2"/>
      <c r="Z39" s="90"/>
      <c r="BU39" s="109">
        <v>44929</v>
      </c>
    </row>
    <row r="40" ht="20.25" customHeight="1" spans="1:73" x14ac:dyDescent="0.25">
      <c r="A40" s="26"/>
      <c r="B40" s="17"/>
      <c r="C40" s="17"/>
      <c r="D40" s="106" t="s">
        <v>56</v>
      </c>
      <c r="E40" s="107"/>
      <c r="F40" s="111"/>
      <c r="G40" s="111"/>
      <c r="H40" s="111"/>
      <c r="I40" s="97"/>
      <c r="J40" s="97"/>
      <c r="K40" s="100"/>
      <c r="N40" s="2"/>
      <c r="Z40" s="90"/>
      <c r="BU40" s="109">
        <v>44930</v>
      </c>
    </row>
    <row r="41" ht="20.25" customHeight="1" spans="1:73" x14ac:dyDescent="0.25">
      <c r="A41" s="26"/>
      <c r="B41" s="112"/>
      <c r="C41" s="112"/>
      <c r="D41" s="113"/>
      <c r="E41" s="113"/>
      <c r="F41" s="113"/>
      <c r="G41" s="97"/>
      <c r="H41" s="97"/>
      <c r="I41" s="97"/>
      <c r="J41" s="97"/>
      <c r="K41" s="100"/>
      <c r="N41" s="2"/>
      <c r="Z41" s="90"/>
      <c r="BU41" s="109">
        <v>44931</v>
      </c>
    </row>
    <row r="42" ht="33" customHeight="1" spans="1:73" s="114" customFormat="1" x14ac:dyDescent="0.25">
      <c r="A42" s="26"/>
      <c r="B42" s="115" t="s">
        <v>57</v>
      </c>
      <c r="C42" s="116"/>
      <c r="D42" s="113"/>
      <c r="E42" s="113"/>
      <c r="F42" s="113"/>
      <c r="G42" s="97"/>
      <c r="H42" s="97"/>
      <c r="I42" s="97"/>
      <c r="J42" s="97"/>
      <c r="K42" s="100"/>
      <c r="N42" s="117"/>
      <c r="Z42" s="118"/>
      <c r="BU42" s="109">
        <v>44932</v>
      </c>
    </row>
    <row r="43" ht="18" customHeight="1" spans="1:73" x14ac:dyDescent="0.25">
      <c r="A43" s="26"/>
      <c r="B43" s="119" t="s">
        <v>58</v>
      </c>
      <c r="C43" s="120"/>
      <c r="D43" s="119" t="s">
        <v>59</v>
      </c>
      <c r="E43" s="120"/>
      <c r="F43" s="121" t="s">
        <v>60</v>
      </c>
      <c r="G43" s="121" t="s">
        <v>61</v>
      </c>
      <c r="H43" s="119" t="s">
        <v>62</v>
      </c>
      <c r="I43" s="120"/>
      <c r="J43" s="121" t="s">
        <v>63</v>
      </c>
      <c r="K43" s="122"/>
      <c r="Z43" s="90"/>
      <c r="BU43" s="109">
        <v>44933</v>
      </c>
    </row>
    <row r="44" ht="18" customHeight="1" spans="1:73" s="6" customFormat="1" x14ac:dyDescent="0.25">
      <c r="A44" s="123"/>
      <c r="B44" s="124"/>
      <c r="C44" s="125"/>
      <c r="D44" s="124"/>
      <c r="E44" s="125"/>
      <c r="F44" s="59"/>
      <c r="G44" s="58"/>
      <c r="H44" s="1"/>
      <c r="I44" s="126"/>
      <c r="J44" s="127"/>
      <c r="K44" s="122"/>
      <c r="L44" s="128"/>
      <c r="M44" s="128"/>
      <c r="N44" s="128"/>
      <c r="O44" s="128"/>
      <c r="P44" s="128"/>
      <c r="Z44" s="129"/>
      <c r="BU44" s="109">
        <v>44934</v>
      </c>
    </row>
    <row r="45" ht="18" customHeight="1" spans="1:73" s="6" customFormat="1" x14ac:dyDescent="0.25">
      <c r="A45" s="123"/>
      <c r="B45" s="124"/>
      <c r="C45" s="125"/>
      <c r="D45" s="124"/>
      <c r="E45" s="125"/>
      <c r="F45" s="130"/>
      <c r="G45" s="131"/>
      <c r="H45" s="132"/>
      <c r="I45" s="126"/>
      <c r="J45" s="127"/>
      <c r="K45" s="122"/>
      <c r="N45" s="133"/>
      <c r="Z45" s="129"/>
      <c r="BU45" s="109">
        <v>44935</v>
      </c>
    </row>
    <row r="46" ht="18" customHeight="1" spans="1:73" x14ac:dyDescent="0.25">
      <c r="A46" s="26"/>
      <c r="B46" s="124"/>
      <c r="C46" s="125"/>
      <c r="D46" s="124"/>
      <c r="E46" s="125"/>
      <c r="F46" s="130"/>
      <c r="G46" s="131"/>
      <c r="H46" s="132"/>
      <c r="I46" s="126"/>
      <c r="J46" s="127"/>
      <c r="K46" s="100"/>
      <c r="Z46" s="90"/>
      <c r="BU46" s="109">
        <v>44936</v>
      </c>
    </row>
    <row r="47" ht="18" customHeight="1" spans="1:73" x14ac:dyDescent="0.25">
      <c r="A47" s="26"/>
      <c r="B47" s="124"/>
      <c r="C47" s="125"/>
      <c r="D47" s="124"/>
      <c r="E47" s="125"/>
      <c r="F47" s="134"/>
      <c r="G47" s="132"/>
      <c r="H47" s="132"/>
      <c r="I47" s="126"/>
      <c r="J47" s="127"/>
      <c r="K47" s="122"/>
      <c r="Z47" s="90"/>
      <c r="BU47" s="109">
        <v>44937</v>
      </c>
    </row>
    <row r="48" ht="18" customHeight="1" spans="1:73" x14ac:dyDescent="0.25">
      <c r="A48" s="26"/>
      <c r="B48" s="124"/>
      <c r="C48" s="125"/>
      <c r="D48" s="124"/>
      <c r="E48" s="125"/>
      <c r="F48" s="134"/>
      <c r="G48" s="132"/>
      <c r="H48" s="132"/>
      <c r="I48" s="126"/>
      <c r="J48" s="127"/>
      <c r="K48" s="100"/>
      <c r="Z48" s="90"/>
      <c r="BU48" s="109">
        <v>44938</v>
      </c>
    </row>
    <row r="49" ht="18" customHeight="1" spans="1:73" x14ac:dyDescent="0.25">
      <c r="A49" s="26"/>
      <c r="B49" s="124"/>
      <c r="C49" s="125"/>
      <c r="D49" s="124"/>
      <c r="E49" s="125"/>
      <c r="F49" s="134"/>
      <c r="G49" s="132"/>
      <c r="H49" s="132"/>
      <c r="I49" s="135"/>
      <c r="J49" s="127"/>
      <c r="K49" s="122"/>
      <c r="Z49" s="90"/>
      <c r="BU49" s="109">
        <v>44939</v>
      </c>
    </row>
    <row r="50" ht="17.25" customHeight="1" spans="1:73" x14ac:dyDescent="0.25">
      <c r="A50" s="136"/>
      <c r="B50" s="137"/>
      <c r="C50" s="137"/>
      <c r="D50" s="138"/>
      <c r="E50" s="139"/>
      <c r="F50" s="139"/>
      <c r="G50" s="17"/>
      <c r="H50" s="140"/>
      <c r="I50" s="141" t="s">
        <v>64</v>
      </c>
      <c r="J50" s="142">
        <f>SUM(J44:J49)</f>
        <v>0</v>
      </c>
      <c r="K50" s="100"/>
      <c r="Z50" s="90"/>
      <c r="BU50" s="109">
        <v>44940</v>
      </c>
    </row>
    <row r="51" ht="33" customHeight="1" spans="1:73" s="114" customFormat="1" x14ac:dyDescent="0.25">
      <c r="A51" s="143" t="s">
        <v>65</v>
      </c>
      <c r="B51" s="144"/>
      <c r="C51" s="144"/>
      <c r="D51" s="144"/>
      <c r="E51" s="139"/>
      <c r="F51" s="139"/>
      <c r="G51" s="140"/>
      <c r="H51" s="145"/>
      <c r="I51" s="146"/>
      <c r="J51" s="94"/>
      <c r="K51" s="122"/>
      <c r="N51" s="117"/>
      <c r="Z51" s="118"/>
      <c r="BU51" s="109">
        <v>44941</v>
      </c>
    </row>
    <row r="52" ht="33" customHeight="1" spans="1:73" s="114" customFormat="1" x14ac:dyDescent="0.25">
      <c r="A52" s="143"/>
      <c r="B52" s="17"/>
      <c r="C52" s="147" t="s">
        <v>66</v>
      </c>
      <c r="D52" s="148"/>
      <c r="E52" s="149" t="s">
        <v>67</v>
      </c>
      <c r="F52" s="149" t="s">
        <v>68</v>
      </c>
      <c r="G52" s="150" t="s">
        <v>69</v>
      </c>
      <c r="H52" s="150" t="s">
        <v>63</v>
      </c>
      <c r="I52" s="151" t="s">
        <v>70</v>
      </c>
      <c r="J52" s="146"/>
      <c r="K52" s="152"/>
      <c r="N52" s="117"/>
      <c r="Z52" s="118"/>
      <c r="BU52" s="109">
        <v>44942</v>
      </c>
    </row>
    <row r="53" ht="33" customHeight="1" spans="1:73" s="114" customFormat="1" x14ac:dyDescent="0.25">
      <c r="A53" s="143"/>
      <c r="B53" s="17"/>
      <c r="C53" s="153">
        <v>1</v>
      </c>
      <c r="D53" s="154"/>
      <c r="E53" s="154"/>
      <c r="F53" s="155"/>
      <c r="G53" s="155"/>
      <c r="H53" s="155">
        <f>F53+G53</f>
        <v>0</v>
      </c>
      <c r="I53" s="156"/>
      <c r="J53" s="146"/>
      <c r="K53" s="152"/>
      <c r="L53" s="54"/>
      <c r="N53" s="117"/>
      <c r="Z53" s="118"/>
      <c r="BU53" s="109">
        <v>44943</v>
      </c>
    </row>
    <row r="54" ht="33" customHeight="1" spans="1:73" s="114" customFormat="1" x14ac:dyDescent="0.25">
      <c r="A54" s="143"/>
      <c r="B54" s="17"/>
      <c r="C54" s="153">
        <v>2</v>
      </c>
      <c r="D54" s="154"/>
      <c r="E54" s="154"/>
      <c r="F54" s="155"/>
      <c r="G54" s="155"/>
      <c r="H54" s="155">
        <f t="shared" ref="H54:H58" si="0">F54+G54</f>
        <v>0</v>
      </c>
      <c r="I54" s="156"/>
      <c r="J54" s="146"/>
      <c r="K54" s="152"/>
      <c r="N54" s="117"/>
      <c r="Z54" s="118"/>
      <c r="BU54" s="109">
        <v>44944</v>
      </c>
    </row>
    <row r="55" ht="33" customHeight="1" spans="1:73" s="114" customFormat="1" x14ac:dyDescent="0.25">
      <c r="A55" s="143"/>
      <c r="B55" s="17"/>
      <c r="C55" s="153">
        <v>3</v>
      </c>
      <c r="D55" s="154"/>
      <c r="E55" s="154"/>
      <c r="F55" s="155"/>
      <c r="G55" s="155"/>
      <c r="H55" s="155">
        <f t="shared" si="0"/>
        <v>0</v>
      </c>
      <c r="I55" s="156"/>
      <c r="J55" s="146"/>
      <c r="K55" s="152"/>
      <c r="N55" s="117"/>
      <c r="Z55" s="118"/>
      <c r="BU55" s="109">
        <v>44945</v>
      </c>
    </row>
    <row r="56" ht="33" customHeight="1" spans="1:73" s="114" customFormat="1" x14ac:dyDescent="0.25">
      <c r="A56" s="143"/>
      <c r="B56" s="17"/>
      <c r="C56" s="153">
        <v>4</v>
      </c>
      <c r="D56" s="154"/>
      <c r="E56" s="154"/>
      <c r="F56" s="155"/>
      <c r="G56" s="155"/>
      <c r="H56" s="155">
        <f t="shared" si="0"/>
        <v>0</v>
      </c>
      <c r="I56" s="156"/>
      <c r="J56" s="146"/>
      <c r="K56" s="152"/>
      <c r="N56" s="117"/>
      <c r="Z56" s="118"/>
      <c r="BU56" s="109">
        <v>44946</v>
      </c>
    </row>
    <row r="57" ht="33" customHeight="1" spans="1:73" s="114" customFormat="1" x14ac:dyDescent="0.25">
      <c r="A57" s="143"/>
      <c r="B57" s="17"/>
      <c r="C57" s="153">
        <v>5</v>
      </c>
      <c r="D57" s="154"/>
      <c r="E57" s="154"/>
      <c r="F57" s="155"/>
      <c r="G57" s="155"/>
      <c r="H57" s="155">
        <f t="shared" si="0"/>
        <v>0</v>
      </c>
      <c r="I57" s="156"/>
      <c r="J57" s="146"/>
      <c r="K57" s="152"/>
      <c r="N57" s="117"/>
      <c r="Z57" s="118"/>
      <c r="BU57" s="109">
        <v>44947</v>
      </c>
    </row>
    <row r="58" ht="33" customHeight="1" spans="1:73" s="114" customFormat="1" x14ac:dyDescent="0.25">
      <c r="A58" s="143"/>
      <c r="B58" s="17"/>
      <c r="C58" s="153">
        <v>6</v>
      </c>
      <c r="D58" s="154"/>
      <c r="E58" s="154"/>
      <c r="F58" s="155"/>
      <c r="G58" s="155"/>
      <c r="H58" s="155">
        <f t="shared" si="0"/>
        <v>0</v>
      </c>
      <c r="I58" s="156"/>
      <c r="J58" s="146"/>
      <c r="K58" s="152"/>
      <c r="N58" s="117"/>
      <c r="Z58" s="118"/>
      <c r="BU58" s="109">
        <v>44948</v>
      </c>
    </row>
    <row r="59" ht="33" customHeight="1" spans="1:73" s="114" customFormat="1" x14ac:dyDescent="0.25">
      <c r="A59" s="143"/>
      <c r="B59" s="17"/>
      <c r="C59" s="157" t="s">
        <v>71</v>
      </c>
      <c r="D59" s="158"/>
      <c r="E59" s="159"/>
      <c r="F59" s="160">
        <f>SUM(F53:F58)</f>
        <v>0</v>
      </c>
      <c r="G59" s="160">
        <f>SUM(G53:G58)</f>
        <v>0</v>
      </c>
      <c r="H59" s="160">
        <f>SUM(H53:H58)</f>
        <v>0</v>
      </c>
      <c r="I59" s="156"/>
      <c r="J59" s="146"/>
      <c r="K59" s="152"/>
      <c r="N59" s="117"/>
      <c r="Z59" s="118"/>
      <c r="BU59" s="109">
        <v>44951</v>
      </c>
    </row>
    <row r="60" ht="33" customHeight="1" spans="1:73" s="114" customFormat="1" x14ac:dyDescent="0.25">
      <c r="A60" s="143"/>
      <c r="B60" s="17"/>
      <c r="C60" s="157" t="s">
        <v>72</v>
      </c>
      <c r="D60" s="158"/>
      <c r="E60" s="159"/>
      <c r="F60" s="155"/>
      <c r="G60" s="155">
        <f>K16</f>
        <v>0</v>
      </c>
      <c r="H60" s="155">
        <f>SUM(F60:G60)</f>
        <v>0</v>
      </c>
      <c r="I60" s="156"/>
      <c r="J60" s="146"/>
      <c r="K60" s="152"/>
      <c r="N60" s="117"/>
      <c r="Z60" s="118"/>
      <c r="BU60" s="109">
        <v>44952</v>
      </c>
    </row>
    <row r="61" ht="33" customHeight="1" spans="1:73" s="114" customFormat="1" x14ac:dyDescent="0.25">
      <c r="A61" s="161"/>
      <c r="B61" s="78"/>
      <c r="C61" s="157" t="s">
        <v>73</v>
      </c>
      <c r="D61" s="158"/>
      <c r="E61" s="159"/>
      <c r="F61" s="160">
        <f>F60-F59</f>
        <v>0</v>
      </c>
      <c r="G61" s="160">
        <f>G60-G59</f>
        <v>0</v>
      </c>
      <c r="H61" s="160">
        <f>H60-H59</f>
        <v>0</v>
      </c>
      <c r="I61" s="156"/>
      <c r="J61" s="162"/>
      <c r="K61" s="163"/>
      <c r="N61" s="117"/>
      <c r="Z61" s="118"/>
      <c r="BU61" s="109">
        <v>44953</v>
      </c>
    </row>
    <row r="62" ht="33" customHeight="1" spans="1:73" s="114" customFormat="1" x14ac:dyDescent="0.25">
      <c r="A62" s="164"/>
      <c r="B62" s="165"/>
      <c r="C62" s="165"/>
      <c r="D62" s="165"/>
      <c r="E62" s="166"/>
      <c r="F62" s="166"/>
      <c r="G62" s="167"/>
      <c r="H62" s="168"/>
      <c r="I62" s="169"/>
      <c r="J62" s="169"/>
      <c r="K62" s="170"/>
      <c r="N62" s="117"/>
      <c r="Z62" s="118"/>
      <c r="BU62" s="109">
        <v>44954</v>
      </c>
    </row>
    <row r="63" ht="17.25" customHeight="1" spans="1:73" x14ac:dyDescent="0.25">
      <c r="A63" s="171"/>
      <c r="B63" s="172"/>
      <c r="C63" s="172"/>
      <c r="D63" s="172"/>
      <c r="E63" s="140"/>
      <c r="F63" s="139"/>
      <c r="G63" s="139"/>
      <c r="H63" s="139"/>
      <c r="I63" s="173"/>
      <c r="J63" s="173"/>
      <c r="K63" s="174"/>
      <c r="Z63" s="90"/>
      <c r="BU63" s="109">
        <v>44955</v>
      </c>
    </row>
    <row r="64" ht="20.25" customHeight="1" spans="1:73" x14ac:dyDescent="0.25">
      <c r="A64" s="7" t="s">
        <v>74</v>
      </c>
      <c r="B64" s="7"/>
      <c r="C64" s="7"/>
      <c r="D64" s="7"/>
      <c r="E64" s="7"/>
      <c r="F64" s="7"/>
      <c r="G64" s="7"/>
      <c r="H64" s="7"/>
      <c r="I64" s="7"/>
      <c r="J64" s="7"/>
      <c r="K64" s="7"/>
      <c r="Z64" s="90"/>
      <c r="BU64" s="109">
        <v>44956</v>
      </c>
    </row>
    <row r="65" ht="13.8" customHeight="1" spans="1:73" x14ac:dyDescent="0.25">
      <c r="A65" s="175"/>
      <c r="B65" s="176"/>
      <c r="C65" s="176"/>
      <c r="D65" s="176"/>
      <c r="E65" s="176"/>
      <c r="F65" s="176"/>
      <c r="G65" s="176"/>
      <c r="H65" s="176"/>
      <c r="I65" s="176"/>
      <c r="J65" s="176"/>
      <c r="K65" s="177"/>
      <c r="N65" s="2"/>
      <c r="Z65" s="90"/>
      <c r="BU65" s="109">
        <v>44957</v>
      </c>
    </row>
    <row r="66" ht="63.75" customHeight="1" spans="1:73" x14ac:dyDescent="0.25">
      <c r="A66" s="178" t="s">
        <v>75</v>
      </c>
      <c r="B66" s="179"/>
      <c r="C66" s="179"/>
      <c r="D66" s="179"/>
      <c r="E66" s="179"/>
      <c r="F66" s="179"/>
      <c r="G66" s="179"/>
      <c r="H66" s="179"/>
      <c r="I66" s="179"/>
      <c r="J66" s="179"/>
      <c r="K66" s="180"/>
      <c r="N66" s="2"/>
      <c r="Z66" s="90"/>
      <c r="BU66" s="109">
        <v>44958</v>
      </c>
    </row>
    <row r="67" ht="13.8" customHeight="1" spans="1:73" x14ac:dyDescent="0.25">
      <c r="A67" s="181"/>
      <c r="B67" s="182"/>
      <c r="C67" s="182"/>
      <c r="D67" s="183" t="s">
        <v>76</v>
      </c>
      <c r="E67" s="17"/>
      <c r="F67" s="183" t="s">
        <v>77</v>
      </c>
      <c r="G67" s="184"/>
      <c r="H67" s="184"/>
      <c r="I67" s="184"/>
      <c r="J67" s="184"/>
      <c r="K67" s="185"/>
      <c r="N67" s="2"/>
      <c r="Z67" s="90"/>
      <c r="BU67" s="109">
        <v>44959</v>
      </c>
    </row>
    <row r="68" ht="20.25" customHeight="1" spans="1:73" x14ac:dyDescent="0.25">
      <c r="A68" s="186" t="s">
        <v>78</v>
      </c>
      <c r="B68" s="187"/>
      <c r="C68" s="187"/>
      <c r="D68" s="187"/>
      <c r="E68" s="187"/>
      <c r="F68" s="187"/>
      <c r="G68" s="187"/>
      <c r="H68" s="187"/>
      <c r="I68" s="187"/>
      <c r="J68" s="187"/>
      <c r="K68" s="188"/>
      <c r="N68" s="2"/>
      <c r="Z68" s="90"/>
      <c r="BU68" s="109">
        <v>44960</v>
      </c>
    </row>
    <row r="69" ht="20.25" customHeight="1" spans="1:73" x14ac:dyDescent="0.25">
      <c r="A69" s="186"/>
      <c r="B69" s="187"/>
      <c r="C69" s="187"/>
      <c r="D69" s="187"/>
      <c r="E69" s="187"/>
      <c r="F69" s="187"/>
      <c r="G69" s="187"/>
      <c r="H69" s="187"/>
      <c r="I69" s="187"/>
      <c r="J69" s="187"/>
      <c r="K69" s="188"/>
      <c r="N69" s="2"/>
      <c r="Z69" s="90"/>
      <c r="BU69" s="109">
        <v>44961</v>
      </c>
    </row>
    <row r="70" ht="20.25" customHeight="1" spans="1:73" x14ac:dyDescent="0.25">
      <c r="A70" s="186" t="s">
        <v>79</v>
      </c>
      <c r="B70" s="187"/>
      <c r="C70" s="187"/>
      <c r="D70" s="187"/>
      <c r="E70" s="187"/>
      <c r="F70" s="187"/>
      <c r="G70" s="187"/>
      <c r="H70" s="187"/>
      <c r="I70" s="187"/>
      <c r="J70" s="187"/>
      <c r="K70" s="188"/>
      <c r="N70" s="2"/>
      <c r="Z70" s="90"/>
      <c r="BU70" s="109">
        <v>44962</v>
      </c>
    </row>
    <row r="71" ht="13.8" customHeight="1" spans="1:73" x14ac:dyDescent="0.25">
      <c r="A71" s="186"/>
      <c r="B71" s="187"/>
      <c r="C71" s="187"/>
      <c r="D71" s="183" t="s">
        <v>80</v>
      </c>
      <c r="E71" s="17"/>
      <c r="F71" s="183" t="s">
        <v>81</v>
      </c>
      <c r="G71" s="187"/>
      <c r="H71" s="187"/>
      <c r="I71" s="187"/>
      <c r="J71" s="187"/>
      <c r="K71" s="188"/>
      <c r="N71" s="2"/>
      <c r="Z71" s="90"/>
      <c r="BU71" s="109">
        <v>44963</v>
      </c>
    </row>
    <row r="72" ht="20.25" customHeight="1" spans="1:73" x14ac:dyDescent="0.25">
      <c r="A72" s="189" t="s">
        <v>82</v>
      </c>
      <c r="B72" s="190"/>
      <c r="C72" s="190"/>
      <c r="D72" s="190"/>
      <c r="E72" s="190"/>
      <c r="F72" s="190"/>
      <c r="G72" s="190"/>
      <c r="H72" s="190"/>
      <c r="I72" s="190"/>
      <c r="J72" s="190"/>
      <c r="K72" s="191"/>
      <c r="N72" s="2"/>
      <c r="Z72" s="90"/>
      <c r="BU72" s="109">
        <v>44964</v>
      </c>
    </row>
    <row r="73" ht="20.25" customHeight="1" spans="1:73" x14ac:dyDescent="0.25">
      <c r="A73" s="192"/>
      <c r="B73" s="193"/>
      <c r="C73" s="193"/>
      <c r="D73" s="193"/>
      <c r="E73" s="193"/>
      <c r="F73" s="193"/>
      <c r="G73" s="193"/>
      <c r="H73" s="193"/>
      <c r="I73" s="193"/>
      <c r="J73" s="193"/>
      <c r="K73" s="194"/>
      <c r="N73" s="2"/>
      <c r="Z73" s="90"/>
      <c r="BU73" s="109">
        <v>44965</v>
      </c>
    </row>
    <row r="74" ht="19.5" customHeight="1" spans="1:73" x14ac:dyDescent="0.25">
      <c r="A74" s="7" t="s">
        <v>83</v>
      </c>
      <c r="B74" s="7"/>
      <c r="C74" s="7"/>
      <c r="D74" s="7"/>
      <c r="E74" s="7"/>
      <c r="F74" s="7"/>
      <c r="G74" s="7"/>
      <c r="H74" s="7"/>
      <c r="I74" s="7"/>
      <c r="J74" s="7"/>
      <c r="K74" s="7"/>
      <c r="Z74" s="90"/>
      <c r="BU74" s="109">
        <v>44966</v>
      </c>
    </row>
    <row r="75" ht="13.8" customHeight="1" spans="1:73" x14ac:dyDescent="0.25">
      <c r="A75" s="175"/>
      <c r="B75" s="176"/>
      <c r="C75" s="176"/>
      <c r="D75" s="176"/>
      <c r="E75" s="176"/>
      <c r="F75" s="176"/>
      <c r="G75" s="176"/>
      <c r="H75" s="176"/>
      <c r="I75" s="176"/>
      <c r="J75" s="176"/>
      <c r="K75" s="177"/>
      <c r="N75" s="2"/>
      <c r="Z75" s="90"/>
      <c r="BU75" s="109">
        <v>44967</v>
      </c>
    </row>
    <row r="76" ht="13.8" customHeight="1" spans="1:73" x14ac:dyDescent="0.25">
      <c r="A76" s="26"/>
      <c r="B76" s="195"/>
      <c r="C76" s="196" t="s">
        <v>84</v>
      </c>
      <c r="D76" s="197"/>
      <c r="E76" s="198" t="e">
        <f>H59/H60</f>
        <v>#DIV/0!</v>
      </c>
      <c r="F76" s="17"/>
      <c r="G76" s="195"/>
      <c r="H76" s="196" t="s">
        <v>85</v>
      </c>
      <c r="I76" s="197"/>
      <c r="J76" s="198">
        <f>1/180</f>
        <v>0.005555555555555556</v>
      </c>
      <c r="K76" s="199"/>
      <c r="N76" s="2"/>
      <c r="Z76" s="90"/>
      <c r="BU76" s="109">
        <v>44968</v>
      </c>
    </row>
    <row r="77" ht="13.8" customHeight="1" spans="1:73" x14ac:dyDescent="0.25">
      <c r="A77" s="200"/>
      <c r="B77" s="201"/>
      <c r="C77" s="201"/>
      <c r="D77" s="202"/>
      <c r="E77" s="17"/>
      <c r="F77" s="201"/>
      <c r="G77" s="201"/>
      <c r="H77" s="202"/>
      <c r="I77" s="203"/>
      <c r="J77" s="203"/>
      <c r="K77" s="199"/>
      <c r="N77" s="2"/>
      <c r="Z77" s="90"/>
      <c r="BU77" s="109"/>
    </row>
    <row r="78" ht="13.8" customHeight="1" spans="1:73" x14ac:dyDescent="0.25">
      <c r="A78" s="175"/>
      <c r="B78" s="176"/>
      <c r="C78" s="176"/>
      <c r="D78" s="176"/>
      <c r="E78" s="176"/>
      <c r="F78" s="176"/>
      <c r="G78" s="176"/>
      <c r="H78" s="176"/>
      <c r="I78" s="176"/>
      <c r="J78" s="204"/>
      <c r="K78" s="205"/>
      <c r="N78" s="2"/>
      <c r="Z78" s="90"/>
      <c r="BU78" s="109">
        <v>44969</v>
      </c>
    </row>
    <row r="79" ht="13.8" customHeight="1" spans="1:73" s="206" customFormat="1" x14ac:dyDescent="0.25">
      <c r="A79" s="207"/>
      <c r="B79" s="208" t="s">
        <v>86</v>
      </c>
      <c r="C79" s="209"/>
      <c r="D79" s="210"/>
      <c r="E79" s="208" t="s">
        <v>87</v>
      </c>
      <c r="F79" s="209"/>
      <c r="G79" s="209"/>
      <c r="H79" s="210"/>
      <c r="I79" s="211" t="s">
        <v>88</v>
      </c>
      <c r="J79" s="211" t="s">
        <v>89</v>
      </c>
      <c r="K79" s="205"/>
      <c r="L79" s="1"/>
      <c r="BU79" s="109">
        <v>44970</v>
      </c>
    </row>
    <row r="80" ht="14.25" customHeight="1" spans="1:73" s="206" customFormat="1" x14ac:dyDescent="0.25">
      <c r="A80" s="207"/>
      <c r="B80" s="212"/>
      <c r="C80" s="213"/>
      <c r="D80" s="214"/>
      <c r="E80" s="212"/>
      <c r="F80" s="213"/>
      <c r="G80" s="213"/>
      <c r="H80" s="214"/>
      <c r="I80" s="215"/>
      <c r="J80" s="216"/>
      <c r="K80" s="205"/>
      <c r="L80" s="1"/>
      <c r="BU80" s="109">
        <v>44971</v>
      </c>
    </row>
    <row r="81" ht="13.8" customHeight="1" spans="1:73" s="206" customFormat="1" x14ac:dyDescent="0.25">
      <c r="A81" s="207"/>
      <c r="B81" s="212"/>
      <c r="C81" s="213"/>
      <c r="D81" s="214"/>
      <c r="E81" s="212"/>
      <c r="F81" s="213"/>
      <c r="G81" s="213"/>
      <c r="H81" s="214"/>
      <c r="I81" s="217"/>
      <c r="J81" s="216"/>
      <c r="K81" s="205"/>
      <c r="L81" s="1"/>
      <c r="BU81" s="109">
        <v>44972</v>
      </c>
    </row>
    <row r="82" ht="13.8" customHeight="1" spans="1:73" s="206" customFormat="1" x14ac:dyDescent="0.25">
      <c r="A82" s="207"/>
      <c r="B82" s="212"/>
      <c r="C82" s="213"/>
      <c r="D82" s="214"/>
      <c r="E82" s="212"/>
      <c r="F82" s="213"/>
      <c r="G82" s="213"/>
      <c r="H82" s="214"/>
      <c r="I82" s="217"/>
      <c r="J82" s="216"/>
      <c r="K82" s="205"/>
      <c r="L82" s="1"/>
      <c r="BU82" s="109">
        <v>44973</v>
      </c>
    </row>
    <row r="83" ht="13.8" customHeight="1" spans="1:73" s="206" customFormat="1" x14ac:dyDescent="0.25">
      <c r="A83" s="207"/>
      <c r="B83" s="212"/>
      <c r="C83" s="213"/>
      <c r="D83" s="214"/>
      <c r="E83" s="212"/>
      <c r="F83" s="213"/>
      <c r="G83" s="213"/>
      <c r="H83" s="214"/>
      <c r="I83" s="217"/>
      <c r="J83" s="216"/>
      <c r="K83" s="205"/>
      <c r="L83" s="1"/>
      <c r="BU83" s="109">
        <v>44974</v>
      </c>
    </row>
    <row r="84" ht="13.8" customHeight="1" spans="1:73" s="206" customFormat="1" x14ac:dyDescent="0.25">
      <c r="A84" s="207"/>
      <c r="B84" s="212"/>
      <c r="C84" s="213"/>
      <c r="D84" s="214"/>
      <c r="E84" s="212"/>
      <c r="F84" s="213"/>
      <c r="G84" s="213"/>
      <c r="H84" s="214"/>
      <c r="I84" s="217"/>
      <c r="J84" s="216"/>
      <c r="K84" s="205"/>
      <c r="L84" s="1"/>
      <c r="BU84" s="109">
        <v>44975</v>
      </c>
    </row>
    <row r="85" ht="13.8" customHeight="1" spans="1:73" s="206" customFormat="1" x14ac:dyDescent="0.25">
      <c r="A85" s="207"/>
      <c r="B85" s="212"/>
      <c r="C85" s="213"/>
      <c r="D85" s="214"/>
      <c r="E85" s="212"/>
      <c r="F85" s="213"/>
      <c r="G85" s="213"/>
      <c r="H85" s="214"/>
      <c r="I85" s="217"/>
      <c r="J85" s="216"/>
      <c r="K85" s="205"/>
      <c r="BU85" s="109">
        <v>44976</v>
      </c>
    </row>
    <row r="86" ht="13.8" customHeight="1" spans="1:73" s="206" customFormat="1" x14ac:dyDescent="0.25">
      <c r="A86" s="207"/>
      <c r="B86" s="212"/>
      <c r="C86" s="213"/>
      <c r="D86" s="214"/>
      <c r="E86" s="212"/>
      <c r="F86" s="213"/>
      <c r="G86" s="213"/>
      <c r="H86" s="214"/>
      <c r="I86" s="217"/>
      <c r="J86" s="216"/>
      <c r="K86" s="205"/>
      <c r="BU86" s="109">
        <v>44977</v>
      </c>
    </row>
    <row r="87" ht="13.8" customHeight="1" spans="1:73" s="206" customFormat="1" x14ac:dyDescent="0.25">
      <c r="A87" s="207"/>
      <c r="B87" s="212"/>
      <c r="C87" s="213"/>
      <c r="D87" s="214"/>
      <c r="E87" s="212"/>
      <c r="F87" s="213"/>
      <c r="G87" s="213"/>
      <c r="H87" s="214"/>
      <c r="I87" s="217"/>
      <c r="J87" s="216"/>
      <c r="K87" s="205"/>
      <c r="BU87" s="109">
        <v>44978</v>
      </c>
    </row>
    <row r="88" ht="13.8" customHeight="1" spans="1:73" s="206" customFormat="1" x14ac:dyDescent="0.25">
      <c r="A88" s="207"/>
      <c r="B88" s="212"/>
      <c r="C88" s="213"/>
      <c r="D88" s="214"/>
      <c r="E88" s="212"/>
      <c r="F88" s="213"/>
      <c r="G88" s="213"/>
      <c r="H88" s="214"/>
      <c r="I88" s="217"/>
      <c r="J88" s="216"/>
      <c r="K88" s="205"/>
      <c r="BU88" s="109">
        <v>44979</v>
      </c>
    </row>
    <row r="89" ht="13.8" customHeight="1" spans="1:73" s="206" customFormat="1" x14ac:dyDescent="0.25">
      <c r="A89" s="207"/>
      <c r="B89" s="212"/>
      <c r="C89" s="213"/>
      <c r="D89" s="214"/>
      <c r="E89" s="212"/>
      <c r="F89" s="213"/>
      <c r="G89" s="213"/>
      <c r="H89" s="214"/>
      <c r="I89" s="217"/>
      <c r="J89" s="216"/>
      <c r="K89" s="205"/>
      <c r="BU89" s="109">
        <v>44980</v>
      </c>
    </row>
    <row r="90" ht="13.8" customHeight="1" spans="1:73" s="206" customFormat="1" x14ac:dyDescent="0.25">
      <c r="A90" s="207"/>
      <c r="B90" s="212"/>
      <c r="C90" s="213"/>
      <c r="D90" s="214"/>
      <c r="E90" s="212"/>
      <c r="F90" s="213"/>
      <c r="G90" s="213"/>
      <c r="H90" s="214"/>
      <c r="I90" s="217"/>
      <c r="J90" s="216"/>
      <c r="K90" s="205"/>
      <c r="BU90" s="109">
        <v>44981</v>
      </c>
    </row>
    <row r="91" ht="13.8" customHeight="1" spans="1:73" s="206" customFormat="1" x14ac:dyDescent="0.25">
      <c r="A91" s="207"/>
      <c r="B91" s="212"/>
      <c r="C91" s="213"/>
      <c r="D91" s="214"/>
      <c r="E91" s="212"/>
      <c r="F91" s="213"/>
      <c r="G91" s="213"/>
      <c r="H91" s="214"/>
      <c r="I91" s="217"/>
      <c r="J91" s="216"/>
      <c r="K91" s="205"/>
      <c r="BU91" s="109">
        <v>44982</v>
      </c>
    </row>
    <row r="92" ht="13.8" customHeight="1" spans="1:73" s="206" customFormat="1" x14ac:dyDescent="0.25">
      <c r="A92" s="207"/>
      <c r="B92" s="212"/>
      <c r="C92" s="213"/>
      <c r="D92" s="214"/>
      <c r="E92" s="212"/>
      <c r="F92" s="213"/>
      <c r="G92" s="213"/>
      <c r="H92" s="214"/>
      <c r="I92" s="217"/>
      <c r="J92" s="216"/>
      <c r="K92" s="205"/>
      <c r="BU92" s="109">
        <v>44983</v>
      </c>
    </row>
    <row r="93" ht="13.8" customHeight="1" spans="1:73" s="206" customFormat="1" x14ac:dyDescent="0.25">
      <c r="A93" s="207"/>
      <c r="B93" s="212"/>
      <c r="C93" s="213"/>
      <c r="D93" s="214"/>
      <c r="E93" s="212"/>
      <c r="F93" s="213"/>
      <c r="G93" s="213"/>
      <c r="H93" s="214"/>
      <c r="I93" s="217"/>
      <c r="J93" s="216"/>
      <c r="K93" s="205"/>
      <c r="BU93" s="109">
        <v>44984</v>
      </c>
    </row>
    <row r="94" ht="13.8" customHeight="1" spans="1:73" s="206" customFormat="1" x14ac:dyDescent="0.25">
      <c r="A94" s="207"/>
      <c r="B94" s="212"/>
      <c r="C94" s="213"/>
      <c r="D94" s="214"/>
      <c r="E94" s="212"/>
      <c r="F94" s="213"/>
      <c r="G94" s="213"/>
      <c r="H94" s="214"/>
      <c r="I94" s="217"/>
      <c r="J94" s="216"/>
      <c r="K94" s="205"/>
      <c r="BU94" s="109">
        <v>44985</v>
      </c>
    </row>
    <row r="95" ht="13.8" customHeight="1" spans="1:73" s="206" customFormat="1" x14ac:dyDescent="0.25">
      <c r="A95" s="207"/>
      <c r="B95" s="212"/>
      <c r="C95" s="213"/>
      <c r="D95" s="214"/>
      <c r="E95" s="212"/>
      <c r="F95" s="213"/>
      <c r="G95" s="213"/>
      <c r="H95" s="214"/>
      <c r="I95" s="217"/>
      <c r="J95" s="216"/>
      <c r="K95" s="205"/>
      <c r="BU95" s="109">
        <v>44986</v>
      </c>
    </row>
    <row r="96" ht="13.8" customHeight="1" spans="1:73" s="206" customFormat="1" x14ac:dyDescent="0.25">
      <c r="A96" s="207"/>
      <c r="B96" s="212"/>
      <c r="C96" s="213"/>
      <c r="D96" s="214"/>
      <c r="E96" s="212"/>
      <c r="F96" s="213"/>
      <c r="G96" s="213"/>
      <c r="H96" s="214"/>
      <c r="I96" s="217"/>
      <c r="J96" s="216"/>
      <c r="K96" s="205"/>
      <c r="BU96" s="109">
        <v>44987</v>
      </c>
    </row>
    <row r="97" ht="13.8" customHeight="1" spans="1:73" s="206" customFormat="1" x14ac:dyDescent="0.25">
      <c r="A97" s="207"/>
      <c r="B97" s="212"/>
      <c r="C97" s="213"/>
      <c r="D97" s="214"/>
      <c r="E97" s="212"/>
      <c r="F97" s="213"/>
      <c r="G97" s="213"/>
      <c r="H97" s="214"/>
      <c r="I97" s="217"/>
      <c r="J97" s="216"/>
      <c r="K97" s="205"/>
      <c r="BU97" s="109">
        <v>44988</v>
      </c>
    </row>
    <row r="98" ht="13.8" customHeight="1" spans="1:73" s="206" customFormat="1" x14ac:dyDescent="0.25">
      <c r="A98" s="207"/>
      <c r="B98" s="212"/>
      <c r="C98" s="213"/>
      <c r="D98" s="214"/>
      <c r="E98" s="212"/>
      <c r="F98" s="213"/>
      <c r="G98" s="213"/>
      <c r="H98" s="214"/>
      <c r="I98" s="217"/>
      <c r="J98" s="216"/>
      <c r="K98" s="205"/>
      <c r="BU98" s="109">
        <v>44989</v>
      </c>
    </row>
    <row r="99" ht="13.8" customHeight="1" spans="1:73" s="206" customFormat="1" x14ac:dyDescent="0.25">
      <c r="A99" s="207"/>
      <c r="B99" s="212"/>
      <c r="C99" s="213"/>
      <c r="D99" s="214"/>
      <c r="E99" s="212"/>
      <c r="F99" s="213"/>
      <c r="G99" s="213"/>
      <c r="H99" s="214"/>
      <c r="I99" s="217"/>
      <c r="J99" s="216"/>
      <c r="K99" s="205"/>
      <c r="BU99" s="109">
        <v>44990</v>
      </c>
    </row>
    <row r="100" ht="13.8" customHeight="1" spans="1:73" s="206" customFormat="1" x14ac:dyDescent="0.25">
      <c r="A100" s="207"/>
      <c r="B100" s="212"/>
      <c r="C100" s="213"/>
      <c r="D100" s="214"/>
      <c r="E100" s="212"/>
      <c r="F100" s="213"/>
      <c r="G100" s="213"/>
      <c r="H100" s="214"/>
      <c r="I100" s="217"/>
      <c r="J100" s="216"/>
      <c r="K100" s="205"/>
      <c r="BU100" s="109">
        <v>44991</v>
      </c>
    </row>
    <row r="101" ht="13.8" customHeight="1" spans="1:73" s="206" customFormat="1" x14ac:dyDescent="0.25">
      <c r="A101" s="207"/>
      <c r="B101" s="212"/>
      <c r="C101" s="213"/>
      <c r="D101" s="214"/>
      <c r="E101" s="212"/>
      <c r="F101" s="213"/>
      <c r="G101" s="213"/>
      <c r="H101" s="214"/>
      <c r="I101" s="218"/>
      <c r="J101" s="219"/>
      <c r="K101" s="205"/>
      <c r="BU101" s="109">
        <v>44992</v>
      </c>
    </row>
    <row r="102" ht="12.75" customHeight="1" hidden="1" spans="1:73" s="206" customFormat="1" x14ac:dyDescent="0.25">
      <c r="A102" s="207"/>
      <c r="B102" s="212"/>
      <c r="C102" s="213"/>
      <c r="D102" s="214"/>
      <c r="E102" s="212"/>
      <c r="F102" s="213"/>
      <c r="G102" s="213"/>
      <c r="H102" s="214"/>
      <c r="I102" s="218"/>
      <c r="J102" s="219"/>
      <c r="K102" s="205"/>
      <c r="BU102" s="109">
        <v>44993</v>
      </c>
    </row>
    <row r="103" ht="12.75" customHeight="1" hidden="1" spans="1:73" s="206" customFormat="1" x14ac:dyDescent="0.25">
      <c r="A103" s="207"/>
      <c r="B103" s="212"/>
      <c r="C103" s="213"/>
      <c r="D103" s="214"/>
      <c r="E103" s="212"/>
      <c r="F103" s="213"/>
      <c r="G103" s="213"/>
      <c r="H103" s="214"/>
      <c r="I103" s="218"/>
      <c r="J103" s="219"/>
      <c r="K103" s="205"/>
      <c r="BU103" s="109">
        <v>44994</v>
      </c>
    </row>
    <row r="104" ht="12.75" customHeight="1" hidden="1" spans="1:73" s="206" customFormat="1" x14ac:dyDescent="0.25">
      <c r="A104" s="207"/>
      <c r="B104" s="212"/>
      <c r="C104" s="213"/>
      <c r="D104" s="214"/>
      <c r="E104" s="212"/>
      <c r="F104" s="213"/>
      <c r="G104" s="213"/>
      <c r="H104" s="214"/>
      <c r="I104" s="218"/>
      <c r="J104" s="219"/>
      <c r="K104" s="205"/>
      <c r="BU104" s="109">
        <v>44995</v>
      </c>
    </row>
    <row r="105" ht="12.75" customHeight="1" hidden="1" spans="1:73" s="206" customFormat="1" x14ac:dyDescent="0.25">
      <c r="A105" s="207"/>
      <c r="B105" s="212"/>
      <c r="C105" s="213"/>
      <c r="D105" s="214"/>
      <c r="E105" s="212"/>
      <c r="F105" s="213"/>
      <c r="G105" s="213"/>
      <c r="H105" s="214"/>
      <c r="I105" s="218"/>
      <c r="J105" s="219"/>
      <c r="K105" s="205"/>
      <c r="BU105" s="109">
        <v>44996</v>
      </c>
    </row>
    <row r="106" ht="12.75" customHeight="1" hidden="1" spans="1:73" s="206" customFormat="1" x14ac:dyDescent="0.25">
      <c r="A106" s="207"/>
      <c r="B106" s="212"/>
      <c r="C106" s="213"/>
      <c r="D106" s="214"/>
      <c r="E106" s="212"/>
      <c r="F106" s="213"/>
      <c r="G106" s="213"/>
      <c r="H106" s="214"/>
      <c r="I106" s="218"/>
      <c r="J106" s="219"/>
      <c r="K106" s="205"/>
      <c r="BU106" s="109">
        <v>44997</v>
      </c>
    </row>
    <row r="107" ht="12.75" customHeight="1" hidden="1" spans="1:73" s="206" customFormat="1" x14ac:dyDescent="0.25">
      <c r="A107" s="207"/>
      <c r="B107" s="212"/>
      <c r="C107" s="213"/>
      <c r="D107" s="214"/>
      <c r="E107" s="212"/>
      <c r="F107" s="213"/>
      <c r="G107" s="213"/>
      <c r="H107" s="214"/>
      <c r="I107" s="218"/>
      <c r="J107" s="219"/>
      <c r="K107" s="205"/>
      <c r="BU107" s="109">
        <v>44998</v>
      </c>
    </row>
    <row r="108" ht="12.75" customHeight="1" hidden="1" spans="1:73" s="206" customFormat="1" x14ac:dyDescent="0.25">
      <c r="A108" s="207"/>
      <c r="B108" s="212"/>
      <c r="C108" s="213"/>
      <c r="D108" s="214"/>
      <c r="E108" s="212"/>
      <c r="F108" s="213"/>
      <c r="G108" s="213"/>
      <c r="H108" s="214"/>
      <c r="I108" s="218"/>
      <c r="J108" s="219"/>
      <c r="K108" s="205"/>
      <c r="BU108" s="109">
        <v>44999</v>
      </c>
    </row>
    <row r="109" ht="12.75" customHeight="1" hidden="1" spans="1:73" s="206" customFormat="1" x14ac:dyDescent="0.25">
      <c r="A109" s="207"/>
      <c r="B109" s="212"/>
      <c r="C109" s="213"/>
      <c r="D109" s="214"/>
      <c r="E109" s="212"/>
      <c r="F109" s="213"/>
      <c r="G109" s="213"/>
      <c r="H109" s="214"/>
      <c r="I109" s="218"/>
      <c r="J109" s="219"/>
      <c r="K109" s="205"/>
      <c r="BU109" s="109">
        <v>45000</v>
      </c>
    </row>
    <row r="110" ht="12.75" customHeight="1" hidden="1" spans="1:73" s="206" customFormat="1" x14ac:dyDescent="0.25">
      <c r="A110" s="207"/>
      <c r="B110" s="212"/>
      <c r="C110" s="213"/>
      <c r="D110" s="214"/>
      <c r="E110" s="212"/>
      <c r="F110" s="213"/>
      <c r="G110" s="213"/>
      <c r="H110" s="214"/>
      <c r="I110" s="218"/>
      <c r="J110" s="219"/>
      <c r="K110" s="205"/>
      <c r="BU110" s="109">
        <v>45001</v>
      </c>
    </row>
    <row r="111" ht="12.75" customHeight="1" hidden="1" spans="1:73" s="206" customFormat="1" x14ac:dyDescent="0.25">
      <c r="A111" s="207"/>
      <c r="B111" s="212"/>
      <c r="C111" s="213"/>
      <c r="D111" s="214"/>
      <c r="E111" s="212"/>
      <c r="F111" s="213"/>
      <c r="G111" s="213"/>
      <c r="H111" s="214"/>
      <c r="I111" s="218"/>
      <c r="J111" s="219"/>
      <c r="K111" s="205"/>
      <c r="BU111" s="109">
        <v>45002</v>
      </c>
    </row>
    <row r="112" ht="12.75" customHeight="1" hidden="1" spans="1:73" s="206" customFormat="1" x14ac:dyDescent="0.25">
      <c r="A112" s="207"/>
      <c r="B112" s="212"/>
      <c r="C112" s="213"/>
      <c r="D112" s="214"/>
      <c r="E112" s="212"/>
      <c r="F112" s="213"/>
      <c r="G112" s="213"/>
      <c r="H112" s="214"/>
      <c r="I112" s="218"/>
      <c r="J112" s="219"/>
      <c r="K112" s="205"/>
      <c r="BU112" s="109">
        <v>45003</v>
      </c>
    </row>
    <row r="113" ht="12.75" customHeight="1" hidden="1" spans="1:73" s="206" customFormat="1" x14ac:dyDescent="0.25">
      <c r="A113" s="207"/>
      <c r="B113" s="212"/>
      <c r="C113" s="213"/>
      <c r="D113" s="214"/>
      <c r="E113" s="212"/>
      <c r="F113" s="213"/>
      <c r="G113" s="213"/>
      <c r="H113" s="214"/>
      <c r="I113" s="218"/>
      <c r="J113" s="219"/>
      <c r="K113" s="205"/>
      <c r="BU113" s="109">
        <v>45004</v>
      </c>
    </row>
    <row r="114" ht="12.75" customHeight="1" hidden="1" spans="1:73" s="206" customFormat="1" x14ac:dyDescent="0.25">
      <c r="A114" s="207"/>
      <c r="B114" s="212"/>
      <c r="C114" s="213"/>
      <c r="D114" s="214"/>
      <c r="E114" s="212"/>
      <c r="F114" s="213"/>
      <c r="G114" s="213"/>
      <c r="H114" s="214"/>
      <c r="I114" s="218"/>
      <c r="J114" s="219"/>
      <c r="K114" s="205"/>
      <c r="BU114" s="109">
        <v>45005</v>
      </c>
    </row>
    <row r="115" ht="12.75" customHeight="1" hidden="1" spans="1:73" s="206" customFormat="1" x14ac:dyDescent="0.25">
      <c r="A115" s="207"/>
      <c r="B115" s="212"/>
      <c r="C115" s="213"/>
      <c r="D115" s="214"/>
      <c r="E115" s="212"/>
      <c r="F115" s="213"/>
      <c r="G115" s="213"/>
      <c r="H115" s="214"/>
      <c r="I115" s="218"/>
      <c r="J115" s="219"/>
      <c r="K115" s="205"/>
      <c r="BU115" s="109">
        <v>45006</v>
      </c>
    </row>
    <row r="116" ht="13.8" customHeight="1" spans="1:73" s="206" customFormat="1" x14ac:dyDescent="0.25">
      <c r="A116" s="207"/>
      <c r="B116" s="212"/>
      <c r="C116" s="213"/>
      <c r="D116" s="214"/>
      <c r="E116" s="212"/>
      <c r="F116" s="213"/>
      <c r="G116" s="213"/>
      <c r="H116" s="214"/>
      <c r="I116" s="218"/>
      <c r="J116" s="219"/>
      <c r="K116" s="205"/>
      <c r="BU116" s="109">
        <v>45007</v>
      </c>
    </row>
    <row r="117" ht="13.8" customHeight="1" spans="1:73" s="206" customFormat="1" x14ac:dyDescent="0.25">
      <c r="A117" s="207"/>
      <c r="B117" s="212"/>
      <c r="C117" s="213"/>
      <c r="D117" s="214"/>
      <c r="E117" s="212"/>
      <c r="F117" s="213"/>
      <c r="G117" s="213"/>
      <c r="H117" s="214"/>
      <c r="I117" s="218"/>
      <c r="J117" s="219"/>
      <c r="K117" s="205"/>
      <c r="BU117" s="109">
        <v>45008</v>
      </c>
    </row>
    <row r="118" ht="13.8" customHeight="1" spans="1:73" x14ac:dyDescent="0.25">
      <c r="A118" s="220"/>
      <c r="B118" s="36"/>
      <c r="C118" s="36"/>
      <c r="D118" s="36"/>
      <c r="E118" s="36"/>
      <c r="F118" s="36"/>
      <c r="G118" s="36"/>
      <c r="H118" s="36"/>
      <c r="I118" s="36"/>
      <c r="J118" s="204"/>
      <c r="K118" s="205"/>
      <c r="Z118" s="90"/>
      <c r="BU118" s="109">
        <v>45009</v>
      </c>
    </row>
    <row r="119" ht="23.25" customHeight="1" spans="1:73" x14ac:dyDescent="0.25">
      <c r="A119" s="221" t="s">
        <v>90</v>
      </c>
      <c r="B119" s="222"/>
      <c r="C119" s="222"/>
      <c r="D119" s="222"/>
      <c r="E119" s="222"/>
      <c r="F119" s="222"/>
      <c r="G119" s="222"/>
      <c r="H119" s="222"/>
      <c r="I119" s="222"/>
      <c r="J119" s="222"/>
      <c r="K119" s="223"/>
      <c r="Z119" s="90"/>
      <c r="BU119" s="109">
        <v>45010</v>
      </c>
    </row>
    <row r="120" ht="23.25" customHeight="1" spans="1:73" x14ac:dyDescent="0.25">
      <c r="A120" s="224"/>
      <c r="B120" s="225"/>
      <c r="C120" s="225"/>
      <c r="D120" s="225"/>
      <c r="E120" s="225"/>
      <c r="F120" s="225"/>
      <c r="G120" s="225"/>
      <c r="H120" s="225"/>
      <c r="I120" s="225"/>
      <c r="J120" s="225"/>
      <c r="K120" s="226"/>
      <c r="Z120" s="90"/>
      <c r="BU120" s="109">
        <v>45011</v>
      </c>
    </row>
    <row r="121" ht="13.8" customHeight="1" spans="1:73" x14ac:dyDescent="0.25">
      <c r="A121" s="7" t="s">
        <v>91</v>
      </c>
      <c r="B121" s="7"/>
      <c r="C121" s="7"/>
      <c r="D121" s="7"/>
      <c r="E121" s="7"/>
      <c r="F121" s="7"/>
      <c r="G121" s="7"/>
      <c r="H121" s="7"/>
      <c r="I121" s="7"/>
      <c r="J121" s="7"/>
      <c r="K121" s="7"/>
      <c r="N121" s="1"/>
      <c r="BU121" s="109">
        <v>45012</v>
      </c>
    </row>
    <row r="122" ht="13.8" customHeight="1" spans="1:73" x14ac:dyDescent="0.25">
      <c r="A122" s="227"/>
      <c r="B122" s="228"/>
      <c r="C122" s="228"/>
      <c r="D122" s="228" t="s">
        <v>92</v>
      </c>
      <c r="E122" s="17"/>
      <c r="F122" s="17"/>
      <c r="G122" s="17"/>
      <c r="H122" s="17"/>
      <c r="I122" s="17"/>
      <c r="J122" s="204"/>
      <c r="K122" s="205"/>
      <c r="N122" s="1"/>
      <c r="BU122" s="109">
        <v>45013</v>
      </c>
    </row>
    <row r="123" ht="29.25" customHeight="1" spans="1:73" x14ac:dyDescent="0.25">
      <c r="A123" s="229" t="s">
        <v>93</v>
      </c>
      <c r="B123" s="230"/>
      <c r="C123" s="230"/>
      <c r="E123" s="17"/>
      <c r="F123" s="17"/>
      <c r="G123" s="231" t="s">
        <v>94</v>
      </c>
      <c r="H123" s="230"/>
      <c r="I123" s="230"/>
      <c r="J123" s="204"/>
      <c r="K123" s="205"/>
      <c r="N123" s="1"/>
      <c r="BU123" s="109">
        <v>45014</v>
      </c>
    </row>
    <row r="124" ht="13.8" customHeight="1" spans="1:73" x14ac:dyDescent="0.25">
      <c r="A124" s="232"/>
      <c r="B124" s="233"/>
      <c r="C124" s="233"/>
      <c r="D124" s="36"/>
      <c r="E124" s="233"/>
      <c r="F124" s="234"/>
      <c r="G124" s="17"/>
      <c r="H124" s="17"/>
      <c r="I124" s="17"/>
      <c r="J124" s="204"/>
      <c r="K124" s="205"/>
      <c r="Z124" s="90"/>
      <c r="BU124" s="109">
        <v>45015</v>
      </c>
    </row>
    <row r="125" ht="13.8" customHeight="1" spans="1:73" x14ac:dyDescent="0.25">
      <c r="A125" s="220"/>
      <c r="B125" s="36"/>
      <c r="C125" s="36"/>
      <c r="E125" s="17"/>
      <c r="F125" s="17"/>
      <c r="G125" s="17"/>
      <c r="H125" s="17"/>
      <c r="I125" s="36"/>
      <c r="J125" s="204"/>
      <c r="K125" s="205"/>
      <c r="Z125" s="90"/>
      <c r="BU125" s="109">
        <v>45016</v>
      </c>
    </row>
    <row r="126" ht="13.8" customHeight="1" spans="1:73" x14ac:dyDescent="0.25">
      <c r="A126" s="235" t="s">
        <v>95</v>
      </c>
      <c r="B126" s="236"/>
      <c r="C126" s="236"/>
      <c r="D126" s="236"/>
      <c r="E126" s="236"/>
      <c r="F126" s="236"/>
      <c r="G126" s="236"/>
      <c r="H126" s="236"/>
      <c r="I126" s="236"/>
      <c r="J126" s="204"/>
      <c r="K126" s="205"/>
      <c r="Z126" s="90"/>
      <c r="BU126" s="109">
        <v>45017</v>
      </c>
    </row>
    <row r="127" ht="13.8" customHeight="1" spans="1:73" x14ac:dyDescent="0.25">
      <c r="A127" s="235"/>
      <c r="B127" s="236"/>
      <c r="C127" s="236"/>
      <c r="D127" s="236"/>
      <c r="E127" s="236"/>
      <c r="F127" s="236"/>
      <c r="G127" s="236"/>
      <c r="H127" s="236"/>
      <c r="I127" s="236"/>
      <c r="J127" s="236"/>
      <c r="K127" s="237"/>
      <c r="Z127" s="90"/>
      <c r="BU127" s="109">
        <v>45018</v>
      </c>
    </row>
    <row r="128" ht="16.5" customHeight="1" spans="1:73" x14ac:dyDescent="0.25">
      <c r="A128" s="220"/>
      <c r="B128" s="36"/>
      <c r="C128" s="36"/>
      <c r="D128" s="36"/>
      <c r="E128" s="36"/>
      <c r="F128" s="36"/>
      <c r="G128" s="204"/>
      <c r="H128" s="204"/>
      <c r="I128" s="204"/>
      <c r="J128" s="204"/>
      <c r="K128" s="205"/>
      <c r="Z128" s="90"/>
      <c r="BU128" s="109">
        <v>45019</v>
      </c>
    </row>
    <row r="129" ht="16.5" customHeight="1" spans="1:73" x14ac:dyDescent="0.25">
      <c r="A129" s="238" t="s">
        <v>96</v>
      </c>
      <c r="B129" s="239"/>
      <c r="C129" s="239"/>
      <c r="D129" s="239"/>
      <c r="E129" s="240" t="s">
        <v>97</v>
      </c>
      <c r="F129" s="241"/>
      <c r="G129" s="204"/>
      <c r="H129" s="204"/>
      <c r="I129" s="204"/>
      <c r="J129" s="204"/>
      <c r="K129" s="205"/>
      <c r="Z129" s="90"/>
      <c r="BU129" s="109">
        <v>45020</v>
      </c>
    </row>
    <row r="130" ht="16.5" customHeight="1" spans="1:73" x14ac:dyDescent="0.25">
      <c r="A130" s="26"/>
      <c r="B130" s="17"/>
      <c r="C130" s="17"/>
      <c r="D130" s="36"/>
      <c r="E130" s="36"/>
      <c r="F130" s="36"/>
      <c r="G130" s="204"/>
      <c r="H130" s="204"/>
      <c r="I130" s="204"/>
      <c r="J130" s="204"/>
      <c r="K130" s="205"/>
      <c r="Z130" s="90"/>
      <c r="BU130" s="109">
        <v>45021</v>
      </c>
    </row>
    <row r="131" ht="43.5" customHeight="1" spans="1:73" x14ac:dyDescent="0.25">
      <c r="A131" s="242" t="s">
        <v>98</v>
      </c>
      <c r="B131" s="243"/>
      <c r="C131" s="243"/>
      <c r="D131" s="243"/>
      <c r="E131" s="243"/>
      <c r="F131" s="243"/>
      <c r="G131" s="243"/>
      <c r="H131" s="243"/>
      <c r="I131" s="243"/>
      <c r="J131" s="243"/>
      <c r="K131" s="244"/>
      <c r="Z131" s="90"/>
      <c r="BU131" s="109">
        <v>45022</v>
      </c>
    </row>
    <row r="132" ht="16.5" customHeight="1" spans="1:73" x14ac:dyDescent="0.25">
      <c r="A132" s="220" t="s">
        <v>99</v>
      </c>
      <c r="B132" s="36"/>
      <c r="C132" s="36"/>
      <c r="D132" s="36"/>
      <c r="E132" s="36"/>
      <c r="F132" s="36"/>
      <c r="G132" s="204"/>
      <c r="H132" s="204"/>
      <c r="I132" s="204"/>
      <c r="J132" s="204"/>
      <c r="K132" s="205"/>
      <c r="Z132" s="90"/>
      <c r="BU132" s="109">
        <v>45023</v>
      </c>
    </row>
    <row r="133" ht="16.5" customHeight="1" spans="1:73" x14ac:dyDescent="0.25">
      <c r="A133" s="26"/>
      <c r="B133" s="36"/>
      <c r="C133" s="36"/>
      <c r="D133" s="36"/>
      <c r="E133" s="36"/>
      <c r="F133" s="36"/>
      <c r="G133" s="204"/>
      <c r="H133" s="204"/>
      <c r="I133" s="204"/>
      <c r="J133" s="204"/>
      <c r="K133" s="205"/>
      <c r="Z133" s="90"/>
      <c r="BU133" s="109">
        <v>45024</v>
      </c>
    </row>
    <row r="134" ht="16.5" customHeight="1" spans="1:73" x14ac:dyDescent="0.25">
      <c r="A134" s="220"/>
      <c r="B134" s="36"/>
      <c r="C134" s="36"/>
      <c r="D134" s="36"/>
      <c r="E134" s="36"/>
      <c r="F134" s="36"/>
      <c r="G134" s="204"/>
      <c r="H134" s="204"/>
      <c r="I134" s="204"/>
      <c r="J134" s="204"/>
      <c r="K134" s="205"/>
      <c r="Z134" s="90"/>
      <c r="BU134" s="109">
        <v>45025</v>
      </c>
    </row>
    <row r="135" ht="16.5" customHeight="1" spans="1:73" x14ac:dyDescent="0.25">
      <c r="A135" s="245" t="s">
        <v>100</v>
      </c>
      <c r="B135" s="230"/>
      <c r="C135" s="230"/>
      <c r="D135" s="36"/>
      <c r="E135" s="231" t="s">
        <v>101</v>
      </c>
      <c r="F135" s="36"/>
      <c r="G135" s="246"/>
      <c r="H135" s="246"/>
      <c r="I135" s="204"/>
      <c r="J135" s="204"/>
      <c r="K135" s="205"/>
      <c r="Z135" s="90"/>
      <c r="BU135" s="109">
        <v>45026</v>
      </c>
    </row>
    <row r="136" ht="16.5" customHeight="1" spans="1:73" x14ac:dyDescent="0.25">
      <c r="A136" s="245" t="s">
        <v>102</v>
      </c>
      <c r="B136" s="30"/>
      <c r="C136" s="30"/>
      <c r="D136" s="36"/>
      <c r="E136" s="231"/>
      <c r="F136" s="36"/>
      <c r="G136" s="93"/>
      <c r="H136" s="93"/>
      <c r="I136" s="204"/>
      <c r="J136" s="204"/>
      <c r="K136" s="205"/>
      <c r="Z136" s="90"/>
      <c r="BU136" s="109"/>
    </row>
    <row r="137" ht="16.5" customHeight="1" spans="1:73" x14ac:dyDescent="0.25">
      <c r="A137" s="245"/>
      <c r="B137" s="247"/>
      <c r="C137" s="247"/>
      <c r="D137" s="36"/>
      <c r="E137" s="231"/>
      <c r="F137" s="36"/>
      <c r="G137" s="93"/>
      <c r="H137" s="93"/>
      <c r="I137" s="204"/>
      <c r="J137" s="204"/>
      <c r="K137" s="205"/>
      <c r="Z137" s="90"/>
      <c r="BU137" s="109"/>
    </row>
    <row r="138" ht="16.5" customHeight="1" spans="1:73" x14ac:dyDescent="0.25">
      <c r="A138" s="245"/>
      <c r="B138" s="247"/>
      <c r="C138" s="247"/>
      <c r="D138" s="36"/>
      <c r="E138" s="231"/>
      <c r="F138" s="36"/>
      <c r="G138" s="93"/>
      <c r="H138" s="93"/>
      <c r="I138" s="204"/>
      <c r="J138" s="204"/>
      <c r="K138" s="205"/>
      <c r="Z138" s="90"/>
      <c r="BU138" s="109"/>
    </row>
    <row r="139" ht="28.5" customHeight="1" spans="1:73" x14ac:dyDescent="0.25">
      <c r="A139" s="248" t="s">
        <v>103</v>
      </c>
      <c r="B139" s="249"/>
      <c r="C139" s="249"/>
      <c r="D139" s="249"/>
      <c r="E139" s="249"/>
      <c r="F139" s="249"/>
      <c r="G139" s="249"/>
      <c r="H139" s="249"/>
      <c r="I139" s="249"/>
      <c r="J139" s="249"/>
      <c r="K139" s="250"/>
      <c r="Z139" s="90"/>
      <c r="BU139" s="109"/>
    </row>
    <row r="140" ht="58.5" customHeight="1" spans="1:73" x14ac:dyDescent="0.25">
      <c r="A140" s="251"/>
      <c r="B140" s="249"/>
      <c r="C140" s="249"/>
      <c r="D140" s="249"/>
      <c r="E140" s="249"/>
      <c r="F140" s="249"/>
      <c r="G140" s="249"/>
      <c r="H140" s="249"/>
      <c r="I140" s="249"/>
      <c r="J140" s="249"/>
      <c r="K140" s="250"/>
      <c r="Z140" s="90"/>
      <c r="BU140" s="109"/>
    </row>
    <row r="141" ht="1.5" customHeight="1" spans="1:73" x14ac:dyDescent="0.25">
      <c r="A141" s="251"/>
      <c r="B141" s="249"/>
      <c r="C141" s="249"/>
      <c r="D141" s="249"/>
      <c r="E141" s="249"/>
      <c r="F141" s="249"/>
      <c r="G141" s="249"/>
      <c r="H141" s="249"/>
      <c r="I141" s="249"/>
      <c r="J141" s="249"/>
      <c r="K141" s="250"/>
      <c r="Z141" s="90"/>
      <c r="BU141" s="109"/>
    </row>
    <row r="142" ht="16.5" customHeight="1" spans="1:73" x14ac:dyDescent="0.25">
      <c r="A142" s="245"/>
      <c r="B142" s="247"/>
      <c r="C142" s="247"/>
      <c r="D142" s="36"/>
      <c r="E142" s="231"/>
      <c r="F142" s="36"/>
      <c r="G142" s="93"/>
      <c r="H142" s="93"/>
      <c r="I142" s="204"/>
      <c r="J142" s="252" t="s">
        <v>104</v>
      </c>
      <c r="K142" s="253"/>
      <c r="Z142" s="90"/>
      <c r="BU142" s="109"/>
    </row>
    <row r="143" ht="16.5" customHeight="1" spans="1:73" x14ac:dyDescent="0.25">
      <c r="A143" s="254"/>
      <c r="B143" s="255"/>
      <c r="C143" s="255"/>
      <c r="D143" s="255"/>
      <c r="E143" s="255"/>
      <c r="F143" s="256"/>
      <c r="G143" s="257"/>
      <c r="H143" s="257"/>
      <c r="I143" s="257"/>
      <c r="J143" s="258"/>
      <c r="K143" s="259"/>
      <c r="Z143" s="90"/>
      <c r="BU143" s="109">
        <v>45027</v>
      </c>
    </row>
    <row r="144" spans="1:73" x14ac:dyDescent="0.25">
      <c r="A144" s="260"/>
      <c r="B144" s="260"/>
      <c r="C144" s="260"/>
      <c r="D144" s="260"/>
      <c r="E144" s="260"/>
      <c r="F144" s="260"/>
      <c r="G144" s="260"/>
      <c r="H144" s="260"/>
      <c r="I144" s="260"/>
      <c r="J144" s="260"/>
      <c r="K144" s="260"/>
      <c r="Z144" s="90"/>
      <c r="BU144" s="109">
        <v>45028</v>
      </c>
    </row>
    <row r="145" spans="26:73" x14ac:dyDescent="0.25">
      <c r="Z145" s="90"/>
      <c r="BU145" s="109">
        <v>45029</v>
      </c>
    </row>
    <row r="146" spans="26:73" x14ac:dyDescent="0.25">
      <c r="Z146" s="90"/>
      <c r="BU146" s="109">
        <v>45035</v>
      </c>
    </row>
    <row r="147" spans="26:73" x14ac:dyDescent="0.25">
      <c r="Z147" s="90"/>
      <c r="BU147" s="109">
        <v>45036</v>
      </c>
    </row>
    <row r="148" spans="26:73" x14ac:dyDescent="0.25">
      <c r="Z148" s="90"/>
      <c r="BU148" s="109">
        <v>45037</v>
      </c>
    </row>
    <row r="149" spans="26:73" x14ac:dyDescent="0.25">
      <c r="Z149" s="90"/>
      <c r="BU149" s="109">
        <v>45038</v>
      </c>
    </row>
    <row r="150" spans="26:73" x14ac:dyDescent="0.25">
      <c r="Z150" s="90"/>
      <c r="BU150" s="109">
        <v>45039</v>
      </c>
    </row>
    <row r="151" spans="26:73" x14ac:dyDescent="0.25">
      <c r="Z151" s="90"/>
      <c r="BU151" s="109">
        <v>45040</v>
      </c>
    </row>
    <row r="152" spans="26:73" x14ac:dyDescent="0.25">
      <c r="Z152" s="90"/>
      <c r="BU152" s="109">
        <v>45041</v>
      </c>
    </row>
    <row r="153" spans="26:73" x14ac:dyDescent="0.25">
      <c r="Z153" s="90"/>
      <c r="BU153" s="109">
        <v>45042</v>
      </c>
    </row>
    <row r="154" spans="26:73" x14ac:dyDescent="0.25">
      <c r="Z154" s="90"/>
      <c r="BU154" s="109">
        <v>45043</v>
      </c>
    </row>
    <row r="155" spans="26:73" x14ac:dyDescent="0.25">
      <c r="Z155" s="90"/>
      <c r="BU155" s="109">
        <v>45044</v>
      </c>
    </row>
    <row r="156" spans="26:73" x14ac:dyDescent="0.25">
      <c r="Z156" s="90"/>
      <c r="BU156" s="109">
        <v>45045</v>
      </c>
    </row>
    <row r="157" spans="26:73" x14ac:dyDescent="0.25">
      <c r="Z157" s="90"/>
      <c r="BU157" s="109">
        <v>45046</v>
      </c>
    </row>
    <row r="158" spans="26:73" x14ac:dyDescent="0.25">
      <c r="Z158" s="90"/>
      <c r="BU158" s="109">
        <v>45047</v>
      </c>
    </row>
    <row r="159" spans="26:73" x14ac:dyDescent="0.25">
      <c r="Z159" s="90"/>
      <c r="BU159" s="109">
        <v>45048</v>
      </c>
    </row>
    <row r="160" spans="26:73" x14ac:dyDescent="0.25">
      <c r="Z160" s="90"/>
      <c r="BU160" s="109">
        <v>45049</v>
      </c>
    </row>
    <row r="161" spans="26:73" x14ac:dyDescent="0.25">
      <c r="Z161" s="90"/>
      <c r="BU161" s="109">
        <v>45050</v>
      </c>
    </row>
    <row r="162" spans="26:73" x14ac:dyDescent="0.25">
      <c r="Z162" s="90"/>
      <c r="BU162" s="109">
        <v>45051</v>
      </c>
    </row>
    <row r="163" spans="26:73" x14ac:dyDescent="0.25">
      <c r="Z163" s="90"/>
      <c r="BU163" s="109">
        <v>45052</v>
      </c>
    </row>
    <row r="164" spans="26:73" x14ac:dyDescent="0.25">
      <c r="Z164" s="90"/>
      <c r="BU164" s="109">
        <v>45053</v>
      </c>
    </row>
    <row r="165" spans="26:73" x14ac:dyDescent="0.25">
      <c r="Z165" s="90"/>
      <c r="BU165" s="109">
        <v>45054</v>
      </c>
    </row>
    <row r="166" spans="26:73" x14ac:dyDescent="0.25">
      <c r="Z166" s="90"/>
      <c r="BU166" s="109">
        <v>45055</v>
      </c>
    </row>
    <row r="167" spans="26:73" x14ac:dyDescent="0.25">
      <c r="Z167" s="90"/>
      <c r="BU167" s="109">
        <v>45056</v>
      </c>
    </row>
    <row r="168" spans="26:73" x14ac:dyDescent="0.25">
      <c r="Z168" s="90"/>
      <c r="BU168" s="109">
        <v>45057</v>
      </c>
    </row>
    <row r="169" spans="26:73" x14ac:dyDescent="0.25">
      <c r="Z169" s="90"/>
      <c r="BU169" s="109">
        <v>45058</v>
      </c>
    </row>
    <row r="170" spans="26:73" x14ac:dyDescent="0.25">
      <c r="Z170" s="90"/>
      <c r="BU170" s="109">
        <v>45059</v>
      </c>
    </row>
    <row r="171" spans="26:73" x14ac:dyDescent="0.25">
      <c r="Z171" s="90"/>
      <c r="BU171" s="109">
        <v>45060</v>
      </c>
    </row>
    <row r="172" spans="26:73" x14ac:dyDescent="0.25">
      <c r="Z172" s="90"/>
      <c r="BU172" s="109">
        <v>45061</v>
      </c>
    </row>
    <row r="173" spans="26:73" x14ac:dyDescent="0.25">
      <c r="Z173" s="90"/>
      <c r="BU173" s="109">
        <v>45062</v>
      </c>
    </row>
    <row r="174" spans="26:73" x14ac:dyDescent="0.25">
      <c r="Z174" s="90"/>
      <c r="BU174" s="109">
        <v>45063</v>
      </c>
    </row>
    <row r="175" spans="26:73" x14ac:dyDescent="0.25">
      <c r="Z175" s="90"/>
      <c r="BU175" s="109">
        <v>45064</v>
      </c>
    </row>
    <row r="176" spans="26:73" x14ac:dyDescent="0.25">
      <c r="Z176" s="90"/>
      <c r="BU176" s="109">
        <v>45065</v>
      </c>
    </row>
    <row r="177" spans="23:73" x14ac:dyDescent="0.25">
      <c r="W177" s="261" t="s">
        <v>105</v>
      </c>
      <c r="Z177" s="90"/>
      <c r="BU177" s="109">
        <v>45066</v>
      </c>
    </row>
    <row r="178" spans="22:73" x14ac:dyDescent="0.25">
      <c r="V178" s="261" t="s">
        <v>97</v>
      </c>
      <c r="W178" s="261" t="s">
        <v>106</v>
      </c>
      <c r="Z178" s="90"/>
      <c r="BU178" s="109">
        <v>45067</v>
      </c>
    </row>
    <row r="179" spans="22:73" x14ac:dyDescent="0.25">
      <c r="V179" s="261" t="s">
        <v>107</v>
      </c>
      <c r="W179" s="261" t="s">
        <v>108</v>
      </c>
      <c r="Z179" s="90"/>
      <c r="BU179" s="109">
        <v>45068</v>
      </c>
    </row>
    <row r="180" spans="23:73" x14ac:dyDescent="0.25">
      <c r="W180" s="261" t="s">
        <v>109</v>
      </c>
      <c r="Z180" s="90"/>
      <c r="BU180" s="109">
        <v>45069</v>
      </c>
    </row>
    <row r="181" spans="23:73" x14ac:dyDescent="0.25">
      <c r="W181" s="261" t="s">
        <v>110</v>
      </c>
      <c r="Z181" s="90"/>
      <c r="BU181" s="109">
        <v>45070</v>
      </c>
    </row>
    <row r="182" spans="22:73" x14ac:dyDescent="0.25">
      <c r="V182" s="90"/>
      <c r="W182" s="261" t="s">
        <v>111</v>
      </c>
      <c r="Z182" s="90"/>
      <c r="BU182" s="109">
        <v>45071</v>
      </c>
    </row>
    <row r="183" spans="22:73" x14ac:dyDescent="0.25">
      <c r="V183" s="90"/>
      <c r="W183" s="261" t="s">
        <v>112</v>
      </c>
      <c r="Z183" s="90"/>
      <c r="BU183" s="109">
        <v>45072</v>
      </c>
    </row>
    <row r="184" spans="22:73" x14ac:dyDescent="0.25">
      <c r="V184" s="90"/>
      <c r="W184" s="261" t="s">
        <v>113</v>
      </c>
      <c r="Z184" s="90"/>
      <c r="BU184" s="109">
        <v>45073</v>
      </c>
    </row>
    <row r="185" spans="22:73" x14ac:dyDescent="0.25">
      <c r="V185" s="90"/>
      <c r="W185" s="261" t="s">
        <v>114</v>
      </c>
      <c r="Z185" s="90"/>
      <c r="BU185" s="109">
        <v>45074</v>
      </c>
    </row>
    <row r="186" spans="22:73" x14ac:dyDescent="0.25">
      <c r="V186" s="90"/>
      <c r="W186" s="261" t="s">
        <v>115</v>
      </c>
      <c r="Z186" s="90"/>
      <c r="BU186" s="109">
        <v>45075</v>
      </c>
    </row>
    <row r="187" spans="22:73" x14ac:dyDescent="0.25">
      <c r="V187" s="90"/>
      <c r="W187" s="261" t="s">
        <v>116</v>
      </c>
      <c r="Z187" s="90"/>
      <c r="BU187" s="109">
        <v>45076</v>
      </c>
    </row>
    <row r="188" spans="22:73" x14ac:dyDescent="0.25">
      <c r="V188" s="90"/>
      <c r="W188" s="261" t="s">
        <v>117</v>
      </c>
      <c r="Z188" s="90"/>
      <c r="BU188" s="109">
        <v>45077</v>
      </c>
    </row>
    <row r="189" spans="22:73" x14ac:dyDescent="0.25">
      <c r="V189" s="90"/>
      <c r="Z189" s="90"/>
      <c r="BU189" s="109">
        <v>45078</v>
      </c>
    </row>
    <row r="190" spans="22:73" x14ac:dyDescent="0.25">
      <c r="V190" s="90"/>
      <c r="Z190" s="90"/>
      <c r="BU190" s="109">
        <v>45079</v>
      </c>
    </row>
    <row r="191" spans="22:73" x14ac:dyDescent="0.25">
      <c r="V191" s="90"/>
      <c r="Z191" s="90"/>
      <c r="BU191" s="109">
        <v>45080</v>
      </c>
    </row>
    <row r="192" spans="22:73" x14ac:dyDescent="0.25">
      <c r="V192" s="90"/>
      <c r="Z192" s="90"/>
      <c r="BU192" s="109">
        <v>45081</v>
      </c>
    </row>
    <row r="193" spans="22:73" x14ac:dyDescent="0.25">
      <c r="V193" s="90"/>
      <c r="Z193" s="90"/>
      <c r="BU193" s="109">
        <v>45082</v>
      </c>
    </row>
    <row r="194" spans="22:73" x14ac:dyDescent="0.25">
      <c r="V194" s="90"/>
      <c r="Z194" s="90"/>
      <c r="BU194" s="109">
        <v>45083</v>
      </c>
    </row>
    <row r="195" spans="22:73" x14ac:dyDescent="0.25">
      <c r="V195" s="90"/>
      <c r="Z195" s="90"/>
      <c r="BU195" s="109">
        <v>45084</v>
      </c>
    </row>
    <row r="196" spans="22:73" x14ac:dyDescent="0.25">
      <c r="V196" s="90"/>
      <c r="Z196" s="90"/>
      <c r="BU196" s="109">
        <v>45085</v>
      </c>
    </row>
    <row r="197" spans="22:73" x14ac:dyDescent="0.25">
      <c r="V197" s="90"/>
      <c r="Z197" s="90"/>
      <c r="BU197" s="109">
        <v>45086</v>
      </c>
    </row>
    <row r="198" spans="22:73" x14ac:dyDescent="0.25">
      <c r="V198" s="90"/>
      <c r="Z198" s="90"/>
      <c r="BU198" s="109">
        <v>45087</v>
      </c>
    </row>
    <row r="199" spans="22:73" x14ac:dyDescent="0.25">
      <c r="V199" s="90"/>
      <c r="Z199" s="90"/>
      <c r="BU199" s="109">
        <v>45088</v>
      </c>
    </row>
    <row r="200" spans="22:73" x14ac:dyDescent="0.25">
      <c r="V200" s="90"/>
      <c r="Z200" s="90"/>
      <c r="BU200" s="109">
        <v>45089</v>
      </c>
    </row>
    <row r="201" spans="22:73" x14ac:dyDescent="0.25">
      <c r="V201" s="90"/>
      <c r="Z201" s="90"/>
      <c r="BU201" s="109">
        <v>45090</v>
      </c>
    </row>
    <row r="202" spans="22:73" x14ac:dyDescent="0.25">
      <c r="V202" s="90"/>
      <c r="Z202" s="90"/>
      <c r="BU202" s="109">
        <v>45091</v>
      </c>
    </row>
    <row r="203" spans="22:73" x14ac:dyDescent="0.25">
      <c r="V203" s="90"/>
      <c r="Z203" s="90"/>
      <c r="BU203" s="109">
        <v>45092</v>
      </c>
    </row>
    <row r="204" spans="22:73" x14ac:dyDescent="0.25">
      <c r="V204" s="90"/>
      <c r="Z204" s="90"/>
      <c r="BU204" s="109">
        <v>45093</v>
      </c>
    </row>
    <row r="205" spans="22:73" x14ac:dyDescent="0.25">
      <c r="V205" s="90"/>
      <c r="Z205" s="90"/>
      <c r="BU205" s="109">
        <v>45094</v>
      </c>
    </row>
    <row r="206" spans="22:73" x14ac:dyDescent="0.25">
      <c r="V206" s="90"/>
      <c r="Z206" s="90"/>
      <c r="BU206" s="109">
        <v>45095</v>
      </c>
    </row>
    <row r="207" spans="22:73" x14ac:dyDescent="0.25">
      <c r="V207" s="90"/>
      <c r="Z207" s="90"/>
      <c r="BU207" s="109">
        <v>45096</v>
      </c>
    </row>
    <row r="208" spans="22:73" x14ac:dyDescent="0.25">
      <c r="V208" s="90"/>
      <c r="Z208" s="90"/>
      <c r="BU208" s="109">
        <v>45097</v>
      </c>
    </row>
    <row r="209" spans="22:73" x14ac:dyDescent="0.25">
      <c r="V209" s="90"/>
      <c r="Z209" s="90"/>
      <c r="BU209" s="109">
        <v>45098</v>
      </c>
    </row>
    <row r="210" spans="22:73" x14ac:dyDescent="0.25">
      <c r="V210" s="90"/>
      <c r="Z210" s="90"/>
      <c r="BU210" s="109">
        <v>45099</v>
      </c>
    </row>
    <row r="211" spans="22:73" x14ac:dyDescent="0.25">
      <c r="V211" s="90"/>
      <c r="Z211" s="90"/>
      <c r="BU211" s="109">
        <v>45100</v>
      </c>
    </row>
    <row r="212" spans="22:73" x14ac:dyDescent="0.25">
      <c r="V212" s="90"/>
      <c r="Z212" s="90"/>
      <c r="BU212" s="109">
        <v>45101</v>
      </c>
    </row>
    <row r="213" spans="22:73" x14ac:dyDescent="0.25">
      <c r="V213" s="90"/>
      <c r="Z213" s="90"/>
      <c r="BU213" s="109">
        <v>45102</v>
      </c>
    </row>
    <row r="214" spans="22:73" x14ac:dyDescent="0.25">
      <c r="V214" s="90"/>
      <c r="Z214" s="90"/>
      <c r="BU214" s="109">
        <v>45103</v>
      </c>
    </row>
    <row r="215" spans="22:73" x14ac:dyDescent="0.25">
      <c r="V215" s="90"/>
      <c r="Z215" s="90"/>
      <c r="BU215" s="109">
        <v>45104</v>
      </c>
    </row>
    <row r="216" spans="22:73" x14ac:dyDescent="0.25">
      <c r="V216" s="90"/>
      <c r="Z216" s="90"/>
      <c r="BU216" s="109">
        <v>45105</v>
      </c>
    </row>
    <row r="217" spans="22:73" x14ac:dyDescent="0.25">
      <c r="V217" s="90"/>
      <c r="Z217" s="90"/>
      <c r="BU217" s="109">
        <v>45106</v>
      </c>
    </row>
    <row r="218" spans="22:73" x14ac:dyDescent="0.25">
      <c r="V218" s="90"/>
      <c r="Z218" s="90"/>
      <c r="BU218" s="109">
        <v>45107</v>
      </c>
    </row>
    <row r="219" spans="22:73" x14ac:dyDescent="0.25">
      <c r="V219" s="90"/>
      <c r="Z219" s="90"/>
      <c r="BU219" s="109">
        <v>45108</v>
      </c>
    </row>
    <row r="220" spans="22:73" x14ac:dyDescent="0.25">
      <c r="V220" s="90"/>
      <c r="Z220" s="90"/>
      <c r="BU220" s="109">
        <v>45109</v>
      </c>
    </row>
    <row r="221" spans="22:73" x14ac:dyDescent="0.25">
      <c r="V221" s="90"/>
      <c r="Z221" s="90"/>
      <c r="BU221" s="109">
        <v>45110</v>
      </c>
    </row>
    <row r="222" spans="22:73" x14ac:dyDescent="0.25">
      <c r="V222" s="90"/>
      <c r="Z222" s="90"/>
      <c r="BU222" s="109">
        <v>45111</v>
      </c>
    </row>
    <row r="223" spans="22:73" x14ac:dyDescent="0.25">
      <c r="V223" s="90"/>
      <c r="Z223" s="90"/>
      <c r="BU223" s="109">
        <v>45112</v>
      </c>
    </row>
    <row r="224" spans="22:73" x14ac:dyDescent="0.25">
      <c r="V224" s="90"/>
      <c r="Z224" s="90"/>
      <c r="BU224" s="109">
        <v>45113</v>
      </c>
    </row>
    <row r="225" spans="22:73" x14ac:dyDescent="0.25">
      <c r="V225" s="90"/>
      <c r="Z225" s="90"/>
      <c r="BU225" s="109">
        <v>45114</v>
      </c>
    </row>
    <row r="226" spans="22:73" x14ac:dyDescent="0.25">
      <c r="V226" s="90"/>
      <c r="Z226" s="90"/>
      <c r="BU226" s="109">
        <v>45115</v>
      </c>
    </row>
    <row r="227" spans="22:73" x14ac:dyDescent="0.25">
      <c r="V227" s="90"/>
      <c r="Z227" s="90"/>
      <c r="BU227" s="109">
        <v>45116</v>
      </c>
    </row>
    <row r="228" spans="22:73" x14ac:dyDescent="0.25">
      <c r="V228" s="90"/>
      <c r="Z228" s="90"/>
      <c r="BU228" s="109">
        <v>45117</v>
      </c>
    </row>
    <row r="229" spans="22:73" x14ac:dyDescent="0.25">
      <c r="V229" s="90"/>
      <c r="Z229" s="90"/>
      <c r="BU229" s="109">
        <v>45118</v>
      </c>
    </row>
    <row r="230" spans="22:73" x14ac:dyDescent="0.25">
      <c r="V230" s="90"/>
      <c r="Z230" s="90"/>
      <c r="BU230" s="109">
        <v>45119</v>
      </c>
    </row>
    <row r="231" spans="22:73" x14ac:dyDescent="0.25">
      <c r="V231" s="90"/>
      <c r="Z231" s="90"/>
      <c r="BU231" s="109">
        <v>45120</v>
      </c>
    </row>
    <row r="232" spans="22:73" x14ac:dyDescent="0.25">
      <c r="V232" s="90"/>
      <c r="Z232" s="90"/>
      <c r="BU232" s="109">
        <v>45121</v>
      </c>
    </row>
    <row r="233" spans="22:73" x14ac:dyDescent="0.25">
      <c r="V233" s="90"/>
      <c r="Z233" s="90"/>
      <c r="BU233" s="109">
        <v>45122</v>
      </c>
    </row>
    <row r="234" spans="22:73" x14ac:dyDescent="0.25">
      <c r="V234" s="90"/>
      <c r="Z234" s="90"/>
      <c r="BU234" s="109">
        <v>45123</v>
      </c>
    </row>
    <row r="235" spans="22:73" x14ac:dyDescent="0.25">
      <c r="V235" s="90"/>
      <c r="Z235" s="90"/>
      <c r="BU235" s="109">
        <v>45124</v>
      </c>
    </row>
    <row r="236" spans="22:73" x14ac:dyDescent="0.25">
      <c r="V236" s="90"/>
      <c r="Z236" s="90"/>
      <c r="BU236" s="109">
        <v>45125</v>
      </c>
    </row>
    <row r="237" spans="22:73" x14ac:dyDescent="0.25">
      <c r="V237" s="90"/>
      <c r="Z237" s="90"/>
      <c r="BU237" s="109">
        <v>45126</v>
      </c>
    </row>
    <row r="238" spans="22:73" x14ac:dyDescent="0.25">
      <c r="V238" s="90"/>
      <c r="Z238" s="90"/>
      <c r="BU238" s="109">
        <v>45127</v>
      </c>
    </row>
    <row r="239" spans="22:73" x14ac:dyDescent="0.25">
      <c r="V239" s="90"/>
      <c r="Z239" s="90"/>
      <c r="BU239" s="109">
        <v>45128</v>
      </c>
    </row>
    <row r="240" spans="22:73" x14ac:dyDescent="0.25">
      <c r="V240" s="90"/>
      <c r="Z240" s="90"/>
      <c r="BU240" s="109">
        <v>45129</v>
      </c>
    </row>
    <row r="241" spans="22:73" x14ac:dyDescent="0.25">
      <c r="V241" s="90"/>
      <c r="Z241" s="90"/>
      <c r="BU241" s="109">
        <v>45130</v>
      </c>
    </row>
    <row r="242" spans="22:73" x14ac:dyDescent="0.25">
      <c r="V242" s="90"/>
      <c r="Z242" s="90"/>
      <c r="BU242" s="109">
        <v>45131</v>
      </c>
    </row>
    <row r="243" spans="22:73" x14ac:dyDescent="0.25">
      <c r="V243" s="90"/>
      <c r="Z243" s="90"/>
      <c r="BU243" s="109">
        <v>45132</v>
      </c>
    </row>
    <row r="244" spans="22:73" x14ac:dyDescent="0.25">
      <c r="V244" s="90"/>
      <c r="Z244" s="90"/>
      <c r="BU244" s="109">
        <v>45133</v>
      </c>
    </row>
    <row r="245" spans="22:73" x14ac:dyDescent="0.25">
      <c r="V245" s="90"/>
      <c r="Z245" s="90"/>
      <c r="BU245" s="109">
        <v>45134</v>
      </c>
    </row>
    <row r="246" spans="22:73" x14ac:dyDescent="0.25">
      <c r="V246" s="90"/>
      <c r="Z246" s="90"/>
      <c r="BU246" s="109">
        <v>45135</v>
      </c>
    </row>
    <row r="247" spans="22:73" x14ac:dyDescent="0.25">
      <c r="V247" s="90"/>
      <c r="Z247" s="90"/>
      <c r="BU247" s="109">
        <v>45136</v>
      </c>
    </row>
    <row r="248" spans="22:73" x14ac:dyDescent="0.25">
      <c r="V248" s="90"/>
      <c r="Z248" s="90"/>
      <c r="BU248" s="109">
        <v>45137</v>
      </c>
    </row>
    <row r="249" spans="22:73" x14ac:dyDescent="0.25">
      <c r="V249" s="90"/>
      <c r="Z249" s="90"/>
      <c r="BU249" s="109">
        <v>45138</v>
      </c>
    </row>
    <row r="250" spans="22:73" x14ac:dyDescent="0.25">
      <c r="V250" s="90"/>
      <c r="Z250" s="90"/>
      <c r="BU250" s="109">
        <v>45139</v>
      </c>
    </row>
    <row r="251" spans="22:73" x14ac:dyDescent="0.25">
      <c r="V251" s="90"/>
      <c r="Z251" s="90"/>
      <c r="BU251" s="109">
        <v>45140</v>
      </c>
    </row>
    <row r="252" spans="22:73" x14ac:dyDescent="0.25">
      <c r="V252" s="90"/>
      <c r="Z252" s="90"/>
      <c r="BU252" s="109">
        <v>45141</v>
      </c>
    </row>
    <row r="253" spans="22:73" x14ac:dyDescent="0.25">
      <c r="V253" s="90"/>
      <c r="Z253" s="90"/>
      <c r="BU253" s="109">
        <v>45142</v>
      </c>
    </row>
    <row r="254" spans="22:73" x14ac:dyDescent="0.25">
      <c r="V254" s="90"/>
      <c r="Z254" s="90"/>
      <c r="BU254" s="109">
        <v>45143</v>
      </c>
    </row>
    <row r="255" spans="22:73" x14ac:dyDescent="0.25">
      <c r="V255" s="90"/>
      <c r="Z255" s="90"/>
      <c r="BU255" s="109">
        <v>45144</v>
      </c>
    </row>
    <row r="256" spans="22:73" x14ac:dyDescent="0.25">
      <c r="V256" s="90"/>
      <c r="Z256" s="90"/>
      <c r="BU256" s="109">
        <v>45145</v>
      </c>
    </row>
    <row r="257" spans="22:73" x14ac:dyDescent="0.25">
      <c r="V257" s="90"/>
      <c r="Z257" s="90"/>
      <c r="BU257" s="109">
        <v>45146</v>
      </c>
    </row>
    <row r="258" spans="22:73" x14ac:dyDescent="0.25">
      <c r="V258" s="90"/>
      <c r="Z258" s="90"/>
      <c r="BU258" s="109">
        <v>45147</v>
      </c>
    </row>
    <row r="259" spans="22:73" x14ac:dyDescent="0.25">
      <c r="V259" s="90"/>
      <c r="Z259" s="90"/>
      <c r="BU259" s="109">
        <v>45148</v>
      </c>
    </row>
    <row r="260" spans="22:73" x14ac:dyDescent="0.25">
      <c r="V260" s="90"/>
      <c r="Z260" s="90"/>
      <c r="BU260" s="109">
        <v>45149</v>
      </c>
    </row>
    <row r="261" spans="22:73" x14ac:dyDescent="0.25">
      <c r="V261" s="90"/>
      <c r="Z261" s="90"/>
      <c r="BU261" s="109">
        <v>45150</v>
      </c>
    </row>
    <row r="262" spans="22:73" x14ac:dyDescent="0.25">
      <c r="V262" s="90"/>
      <c r="Z262" s="90"/>
      <c r="BU262" s="109">
        <v>45151</v>
      </c>
    </row>
    <row r="263" spans="22:73" x14ac:dyDescent="0.25">
      <c r="V263" s="90"/>
      <c r="Z263" s="90"/>
      <c r="BU263" s="109">
        <v>45152</v>
      </c>
    </row>
    <row r="264" spans="22:73" x14ac:dyDescent="0.25">
      <c r="V264" s="90"/>
      <c r="Z264" s="90"/>
      <c r="BU264" s="109">
        <v>45153</v>
      </c>
    </row>
    <row r="265" spans="22:73" x14ac:dyDescent="0.25">
      <c r="V265" s="90"/>
      <c r="Z265" s="90"/>
      <c r="BU265" s="109">
        <v>45154</v>
      </c>
    </row>
    <row r="266" spans="22:73" x14ac:dyDescent="0.25">
      <c r="V266" s="90"/>
      <c r="Z266" s="90"/>
      <c r="BU266" s="109">
        <v>45155</v>
      </c>
    </row>
    <row r="267" spans="22:73" x14ac:dyDescent="0.25">
      <c r="V267" s="90"/>
      <c r="Z267" s="90"/>
      <c r="BU267" s="109">
        <v>45156</v>
      </c>
    </row>
    <row r="268" spans="22:73" x14ac:dyDescent="0.25">
      <c r="V268" s="90"/>
      <c r="Z268" s="90"/>
      <c r="BU268" s="109">
        <v>45157</v>
      </c>
    </row>
    <row r="269" spans="22:73" x14ac:dyDescent="0.25">
      <c r="V269" s="90"/>
      <c r="Z269" s="90"/>
      <c r="BU269" s="109">
        <v>45158</v>
      </c>
    </row>
    <row r="270" spans="22:73" x14ac:dyDescent="0.25">
      <c r="V270" s="90"/>
      <c r="Z270" s="90"/>
      <c r="BU270" s="109">
        <v>45159</v>
      </c>
    </row>
    <row r="271" spans="22:73" x14ac:dyDescent="0.25">
      <c r="V271" s="90"/>
      <c r="Z271" s="90"/>
      <c r="BU271" s="109">
        <v>45160</v>
      </c>
    </row>
    <row r="272" spans="22:73" x14ac:dyDescent="0.25">
      <c r="V272" s="90"/>
      <c r="Z272" s="90"/>
      <c r="BU272" s="109">
        <v>45161</v>
      </c>
    </row>
    <row r="273" spans="22:73" x14ac:dyDescent="0.25">
      <c r="V273" s="90"/>
      <c r="Z273" s="90"/>
      <c r="BU273" s="109">
        <v>45162</v>
      </c>
    </row>
    <row r="274" spans="22:73" x14ac:dyDescent="0.25">
      <c r="V274" s="90"/>
      <c r="Z274" s="90"/>
      <c r="BU274" s="109">
        <v>45163</v>
      </c>
    </row>
    <row r="275" spans="22:73" x14ac:dyDescent="0.25">
      <c r="V275" s="90"/>
      <c r="Z275" s="90"/>
      <c r="BU275" s="109">
        <v>45164</v>
      </c>
    </row>
    <row r="276" spans="22:73" x14ac:dyDescent="0.25">
      <c r="V276" s="90"/>
      <c r="Z276" s="90"/>
      <c r="BU276" s="109">
        <v>45165</v>
      </c>
    </row>
    <row r="277" spans="22:73" x14ac:dyDescent="0.25">
      <c r="V277" s="90"/>
      <c r="Z277" s="90"/>
      <c r="BU277" s="109">
        <v>45166</v>
      </c>
    </row>
    <row r="278" spans="22:73" x14ac:dyDescent="0.25">
      <c r="V278" s="90"/>
      <c r="Z278" s="90"/>
      <c r="BU278" s="109">
        <v>45167</v>
      </c>
    </row>
    <row r="279" spans="22:73" x14ac:dyDescent="0.25">
      <c r="V279" s="90"/>
      <c r="Z279" s="90"/>
      <c r="BU279" s="109">
        <v>45168</v>
      </c>
    </row>
    <row r="280" spans="22:73" x14ac:dyDescent="0.25">
      <c r="V280" s="90"/>
      <c r="Z280" s="90"/>
      <c r="BU280" s="109">
        <v>45169</v>
      </c>
    </row>
    <row r="281" spans="22:73" x14ac:dyDescent="0.25">
      <c r="V281" s="90"/>
      <c r="Z281" s="90"/>
      <c r="BU281" s="109">
        <v>45170</v>
      </c>
    </row>
    <row r="282" spans="22:73" x14ac:dyDescent="0.25">
      <c r="V282" s="90"/>
      <c r="Z282" s="90"/>
      <c r="BU282" s="109">
        <v>45171</v>
      </c>
    </row>
    <row r="283" spans="22:73" x14ac:dyDescent="0.25">
      <c r="V283" s="90"/>
      <c r="Z283" s="90"/>
      <c r="BU283" s="109">
        <v>45172</v>
      </c>
    </row>
    <row r="284" spans="22:73" x14ac:dyDescent="0.25">
      <c r="V284" s="90"/>
      <c r="Z284" s="90"/>
      <c r="BU284" s="109">
        <v>45173</v>
      </c>
    </row>
    <row r="285" spans="22:73" x14ac:dyDescent="0.25">
      <c r="V285" s="90"/>
      <c r="Z285" s="90"/>
      <c r="BU285" s="109">
        <v>45174</v>
      </c>
    </row>
    <row r="286" spans="22:73" x14ac:dyDescent="0.25">
      <c r="V286" s="90"/>
      <c r="Z286" s="90"/>
      <c r="BU286" s="109">
        <v>45175</v>
      </c>
    </row>
    <row r="287" spans="22:73" x14ac:dyDescent="0.25">
      <c r="V287" s="90"/>
      <c r="Z287" s="90"/>
      <c r="BU287" s="109">
        <v>45176</v>
      </c>
    </row>
    <row r="288" spans="22:73" x14ac:dyDescent="0.25">
      <c r="V288" s="90"/>
      <c r="Z288" s="90"/>
      <c r="BU288" s="109">
        <v>45177</v>
      </c>
    </row>
    <row r="289" spans="22:73" x14ac:dyDescent="0.25">
      <c r="V289" s="90"/>
      <c r="Z289" s="90"/>
      <c r="BU289" s="109">
        <v>45178</v>
      </c>
    </row>
    <row r="290" spans="22:73" x14ac:dyDescent="0.25">
      <c r="V290" s="90"/>
      <c r="Z290" s="90"/>
      <c r="BU290" s="109">
        <v>45179</v>
      </c>
    </row>
    <row r="291" spans="22:73" x14ac:dyDescent="0.25">
      <c r="V291" s="90"/>
      <c r="Z291" s="90"/>
      <c r="BU291" s="109">
        <v>45180</v>
      </c>
    </row>
    <row r="292" spans="22:73" x14ac:dyDescent="0.25">
      <c r="V292" s="90"/>
      <c r="Z292" s="90"/>
      <c r="BU292" s="109">
        <v>45181</v>
      </c>
    </row>
    <row r="293" spans="22:73" x14ac:dyDescent="0.25">
      <c r="V293" s="90"/>
      <c r="Z293" s="90"/>
      <c r="BU293" s="109">
        <v>45182</v>
      </c>
    </row>
    <row r="294" spans="22:73" x14ac:dyDescent="0.25">
      <c r="V294" s="90"/>
      <c r="Z294" s="90"/>
      <c r="BU294" s="109">
        <v>45183</v>
      </c>
    </row>
    <row r="295" spans="22:73" x14ac:dyDescent="0.25">
      <c r="V295" s="90"/>
      <c r="Z295" s="90"/>
      <c r="BU295" s="109">
        <v>45184</v>
      </c>
    </row>
    <row r="296" spans="22:73" x14ac:dyDescent="0.25">
      <c r="V296" s="90"/>
      <c r="Z296" s="90"/>
      <c r="BU296" s="109">
        <v>45185</v>
      </c>
    </row>
    <row r="297" spans="22:73" x14ac:dyDescent="0.25">
      <c r="V297" s="90"/>
      <c r="Z297" s="90"/>
      <c r="BU297" s="109">
        <v>45186</v>
      </c>
    </row>
    <row r="298" spans="22:73" x14ac:dyDescent="0.25">
      <c r="V298" s="90"/>
      <c r="Z298" s="90"/>
      <c r="BU298" s="109">
        <v>45187</v>
      </c>
    </row>
    <row r="299" spans="22:73" x14ac:dyDescent="0.25">
      <c r="V299" s="90"/>
      <c r="Z299" s="90"/>
      <c r="BU299" s="109">
        <v>45188</v>
      </c>
    </row>
    <row r="300" spans="22:73" x14ac:dyDescent="0.25">
      <c r="V300" s="90"/>
      <c r="Z300" s="90"/>
      <c r="BU300" s="109">
        <v>45189</v>
      </c>
    </row>
    <row r="301" spans="22:73" x14ac:dyDescent="0.25">
      <c r="V301" s="90"/>
      <c r="Z301" s="90"/>
      <c r="BU301" s="109">
        <v>45190</v>
      </c>
    </row>
    <row r="302" spans="22:73" x14ac:dyDescent="0.25">
      <c r="V302" s="90"/>
      <c r="Z302" s="90"/>
      <c r="BU302" s="109">
        <v>45191</v>
      </c>
    </row>
    <row r="303" spans="22:73" x14ac:dyDescent="0.25">
      <c r="V303" s="90"/>
      <c r="Z303" s="90"/>
      <c r="BU303" s="109">
        <v>45192</v>
      </c>
    </row>
    <row r="304" spans="22:73" x14ac:dyDescent="0.25">
      <c r="V304" s="90"/>
      <c r="Z304" s="90"/>
      <c r="BU304" s="109">
        <v>45193</v>
      </c>
    </row>
    <row r="305" spans="22:73" x14ac:dyDescent="0.25">
      <c r="V305" s="90"/>
      <c r="Z305" s="90"/>
      <c r="BU305" s="109">
        <v>45194</v>
      </c>
    </row>
    <row r="306" spans="22:73" x14ac:dyDescent="0.25">
      <c r="V306" s="90"/>
      <c r="Z306" s="90"/>
      <c r="BU306" s="109">
        <v>45195</v>
      </c>
    </row>
    <row r="307" spans="22:73" x14ac:dyDescent="0.25">
      <c r="V307" s="90"/>
      <c r="Z307" s="90"/>
      <c r="BU307" s="109">
        <v>45196</v>
      </c>
    </row>
    <row r="308" spans="22:73" x14ac:dyDescent="0.25">
      <c r="V308" s="90"/>
      <c r="Z308" s="90"/>
      <c r="BU308" s="109">
        <v>45197</v>
      </c>
    </row>
    <row r="309" spans="22:73" x14ac:dyDescent="0.25">
      <c r="V309" s="90"/>
      <c r="Z309" s="90"/>
      <c r="BU309" s="109">
        <v>45198</v>
      </c>
    </row>
    <row r="310" spans="22:73" x14ac:dyDescent="0.25">
      <c r="V310" s="90"/>
      <c r="Z310" s="90"/>
      <c r="BU310" s="109">
        <v>45199</v>
      </c>
    </row>
    <row r="311" spans="22:73" x14ac:dyDescent="0.25">
      <c r="V311" s="90"/>
      <c r="Z311" s="90"/>
      <c r="BU311" s="109">
        <v>45200</v>
      </c>
    </row>
    <row r="312" spans="22:73" x14ac:dyDescent="0.25">
      <c r="V312" s="90"/>
      <c r="Z312" s="90"/>
      <c r="BU312" s="109">
        <v>45201</v>
      </c>
    </row>
    <row r="313" spans="22:73" x14ac:dyDescent="0.25">
      <c r="V313" s="90"/>
      <c r="Z313" s="90"/>
      <c r="BU313" s="109">
        <v>45202</v>
      </c>
    </row>
    <row r="314" spans="22:73" x14ac:dyDescent="0.25">
      <c r="V314" s="90"/>
      <c r="Z314" s="90"/>
      <c r="BU314" s="109">
        <v>45203</v>
      </c>
    </row>
    <row r="315" spans="22:73" x14ac:dyDescent="0.25">
      <c r="V315" s="90"/>
      <c r="Z315" s="90"/>
      <c r="BU315" s="109">
        <v>45204</v>
      </c>
    </row>
    <row r="316" spans="22:73" x14ac:dyDescent="0.25">
      <c r="V316" s="90"/>
      <c r="Z316" s="90"/>
      <c r="BU316" s="109">
        <v>45205</v>
      </c>
    </row>
    <row r="317" spans="22:73" x14ac:dyDescent="0.25">
      <c r="V317" s="90"/>
      <c r="Z317" s="90"/>
      <c r="BU317" s="109">
        <v>45206</v>
      </c>
    </row>
    <row r="318" spans="22:73" x14ac:dyDescent="0.25">
      <c r="V318" s="90"/>
      <c r="Z318" s="90"/>
      <c r="BU318" s="109">
        <v>45207</v>
      </c>
    </row>
    <row r="319" spans="22:73" x14ac:dyDescent="0.25">
      <c r="V319" s="90"/>
      <c r="Z319" s="90"/>
      <c r="BU319" s="109">
        <v>45208</v>
      </c>
    </row>
    <row r="320" spans="22:73" x14ac:dyDescent="0.25">
      <c r="V320" s="90"/>
      <c r="Z320" s="90"/>
      <c r="BU320" s="109">
        <v>45209</v>
      </c>
    </row>
    <row r="321" spans="22:73" x14ac:dyDescent="0.25">
      <c r="V321" s="90"/>
      <c r="Z321" s="90"/>
      <c r="BU321" s="109">
        <v>45210</v>
      </c>
    </row>
    <row r="322" spans="22:73" x14ac:dyDescent="0.25">
      <c r="V322" s="90"/>
      <c r="Z322" s="90"/>
      <c r="BU322" s="109">
        <v>45211</v>
      </c>
    </row>
    <row r="323" spans="22:73" x14ac:dyDescent="0.25">
      <c r="V323" s="90"/>
      <c r="Z323" s="90"/>
      <c r="BU323" s="109">
        <v>45212</v>
      </c>
    </row>
    <row r="324" spans="22:73" x14ac:dyDescent="0.25">
      <c r="V324" s="90"/>
      <c r="Z324" s="90"/>
      <c r="BU324" s="109">
        <v>45213</v>
      </c>
    </row>
    <row r="325" spans="22:73" x14ac:dyDescent="0.25">
      <c r="V325" s="90"/>
      <c r="Z325" s="90"/>
      <c r="BU325" s="109">
        <v>45214</v>
      </c>
    </row>
    <row r="326" spans="22:73" x14ac:dyDescent="0.25">
      <c r="V326" s="90"/>
      <c r="Z326" s="90"/>
      <c r="BU326" s="109">
        <v>45215</v>
      </c>
    </row>
    <row r="327" spans="22:73" x14ac:dyDescent="0.25">
      <c r="V327" s="90"/>
      <c r="Z327" s="90"/>
      <c r="BU327" s="109">
        <v>45216</v>
      </c>
    </row>
    <row r="328" spans="22:73" x14ac:dyDescent="0.25">
      <c r="V328" s="90"/>
      <c r="Z328" s="90"/>
      <c r="BU328" s="109">
        <v>45217</v>
      </c>
    </row>
    <row r="329" spans="22:73" x14ac:dyDescent="0.25">
      <c r="V329" s="90"/>
      <c r="Z329" s="90"/>
      <c r="BU329" s="109">
        <v>45218</v>
      </c>
    </row>
    <row r="330" spans="22:73" x14ac:dyDescent="0.25">
      <c r="V330" s="90"/>
      <c r="Z330" s="90"/>
      <c r="BU330" s="109">
        <v>45219</v>
      </c>
    </row>
    <row r="331" spans="22:73" x14ac:dyDescent="0.25">
      <c r="V331" s="90"/>
      <c r="Z331" s="90"/>
      <c r="BU331" s="109">
        <v>45220</v>
      </c>
    </row>
    <row r="332" spans="22:73" x14ac:dyDescent="0.25">
      <c r="V332" s="90"/>
      <c r="Z332" s="90"/>
      <c r="BU332" s="109">
        <v>45221</v>
      </c>
    </row>
    <row r="333" spans="22:73" x14ac:dyDescent="0.25">
      <c r="V333" s="90"/>
      <c r="Z333" s="90"/>
      <c r="BU333" s="109">
        <v>45222</v>
      </c>
    </row>
    <row r="334" spans="22:73" x14ac:dyDescent="0.25">
      <c r="V334" s="90"/>
      <c r="Z334" s="90"/>
      <c r="BU334" s="109">
        <v>45223</v>
      </c>
    </row>
    <row r="335" spans="22:73" x14ac:dyDescent="0.25">
      <c r="V335" s="90"/>
      <c r="Z335" s="90"/>
      <c r="BU335" s="109">
        <v>45224</v>
      </c>
    </row>
    <row r="336" spans="22:73" x14ac:dyDescent="0.25">
      <c r="V336" s="90"/>
      <c r="Z336" s="90"/>
      <c r="BU336" s="109">
        <v>45225</v>
      </c>
    </row>
    <row r="337" spans="22:73" x14ac:dyDescent="0.25">
      <c r="V337" s="90"/>
      <c r="Z337" s="90"/>
      <c r="BU337" s="109">
        <v>45226</v>
      </c>
    </row>
    <row r="338" spans="22:73" x14ac:dyDescent="0.25">
      <c r="V338" s="90"/>
      <c r="Z338" s="90"/>
      <c r="BU338" s="109">
        <v>45227</v>
      </c>
    </row>
    <row r="339" spans="22:73" x14ac:dyDescent="0.25">
      <c r="V339" s="90"/>
      <c r="Z339" s="90"/>
      <c r="BU339" s="109">
        <v>45228</v>
      </c>
    </row>
    <row r="340" spans="22:73" x14ac:dyDescent="0.25">
      <c r="V340" s="90"/>
      <c r="Z340" s="90"/>
      <c r="BU340" s="109">
        <v>45229</v>
      </c>
    </row>
    <row r="341" spans="22:73" x14ac:dyDescent="0.25">
      <c r="V341" s="90"/>
      <c r="Z341" s="90"/>
      <c r="BU341" s="109">
        <v>45230</v>
      </c>
    </row>
    <row r="342" spans="22:73" x14ac:dyDescent="0.25">
      <c r="V342" s="90"/>
      <c r="Z342" s="90"/>
      <c r="BU342" s="109">
        <v>45231</v>
      </c>
    </row>
    <row r="343" spans="22:73" x14ac:dyDescent="0.25">
      <c r="V343" s="90"/>
      <c r="Z343" s="90"/>
      <c r="BU343" s="109">
        <v>45232</v>
      </c>
    </row>
    <row r="344" spans="22:73" x14ac:dyDescent="0.25">
      <c r="V344" s="90"/>
      <c r="Z344" s="90"/>
      <c r="BU344" s="109">
        <v>45233</v>
      </c>
    </row>
    <row r="345" spans="22:73" x14ac:dyDescent="0.25">
      <c r="V345" s="90"/>
      <c r="Z345" s="90"/>
      <c r="BU345" s="109">
        <v>45234</v>
      </c>
    </row>
    <row r="346" spans="22:73" x14ac:dyDescent="0.25">
      <c r="V346" s="90"/>
      <c r="Z346" s="90"/>
      <c r="BU346" s="109">
        <v>45235</v>
      </c>
    </row>
    <row r="347" spans="22:73" x14ac:dyDescent="0.25">
      <c r="V347" s="90"/>
      <c r="Z347" s="90"/>
      <c r="BU347" s="109">
        <v>45236</v>
      </c>
    </row>
    <row r="348" spans="22:73" x14ac:dyDescent="0.25">
      <c r="V348" s="90"/>
      <c r="Z348" s="90"/>
      <c r="BU348" s="109">
        <v>45237</v>
      </c>
    </row>
    <row r="349" spans="22:73" x14ac:dyDescent="0.25">
      <c r="V349" s="90"/>
      <c r="Z349" s="90"/>
      <c r="BU349" s="109">
        <v>45238</v>
      </c>
    </row>
    <row r="350" spans="22:73" x14ac:dyDescent="0.25">
      <c r="V350" s="90"/>
      <c r="Z350" s="90"/>
      <c r="BU350" s="109">
        <v>45239</v>
      </c>
    </row>
    <row r="351" spans="22:73" x14ac:dyDescent="0.25">
      <c r="V351" s="90"/>
      <c r="Z351" s="90"/>
      <c r="BU351" s="109">
        <v>45240</v>
      </c>
    </row>
    <row r="352" spans="22:73" x14ac:dyDescent="0.25">
      <c r="V352" s="90"/>
      <c r="Z352" s="90"/>
      <c r="BU352" s="109">
        <v>45241</v>
      </c>
    </row>
    <row r="353" spans="22:73" x14ac:dyDescent="0.25">
      <c r="V353" s="90"/>
      <c r="Z353" s="90"/>
      <c r="BU353" s="109">
        <v>45242</v>
      </c>
    </row>
    <row r="354" spans="22:73" x14ac:dyDescent="0.25">
      <c r="V354" s="90"/>
      <c r="Z354" s="90"/>
      <c r="BU354" s="109">
        <v>45243</v>
      </c>
    </row>
    <row r="355" spans="22:73" x14ac:dyDescent="0.25">
      <c r="V355" s="90"/>
      <c r="Z355" s="90"/>
      <c r="BU355" s="109">
        <v>45244</v>
      </c>
    </row>
    <row r="356" spans="22:73" x14ac:dyDescent="0.25">
      <c r="V356" s="90"/>
      <c r="Z356" s="90"/>
      <c r="BU356" s="109">
        <v>45245</v>
      </c>
    </row>
    <row r="357" spans="22:73" x14ac:dyDescent="0.25">
      <c r="V357" s="90"/>
      <c r="Z357" s="90"/>
      <c r="BU357" s="109">
        <v>45246</v>
      </c>
    </row>
    <row r="358" spans="22:73" x14ac:dyDescent="0.25">
      <c r="V358" s="90"/>
      <c r="Z358" s="90"/>
      <c r="BU358" s="109">
        <v>45247</v>
      </c>
    </row>
    <row r="359" spans="22:73" x14ac:dyDescent="0.25">
      <c r="V359" s="90"/>
      <c r="Z359" s="90"/>
      <c r="BU359" s="109">
        <v>45248</v>
      </c>
    </row>
    <row r="360" spans="22:73" x14ac:dyDescent="0.25">
      <c r="V360" s="90"/>
      <c r="Z360" s="90"/>
      <c r="BU360" s="109">
        <v>45249</v>
      </c>
    </row>
    <row r="361" spans="22:73" x14ac:dyDescent="0.25">
      <c r="V361" s="90"/>
      <c r="Z361" s="90"/>
      <c r="BU361" s="109">
        <v>45250</v>
      </c>
    </row>
    <row r="362" spans="22:73" x14ac:dyDescent="0.25">
      <c r="V362" s="90"/>
      <c r="Z362" s="90"/>
      <c r="BU362" s="109">
        <v>45251</v>
      </c>
    </row>
    <row r="363" spans="22:73" x14ac:dyDescent="0.25">
      <c r="V363" s="90"/>
      <c r="Z363" s="90"/>
      <c r="BU363" s="109">
        <v>45252</v>
      </c>
    </row>
    <row r="364" spans="22:73" x14ac:dyDescent="0.25">
      <c r="V364" s="90"/>
      <c r="Z364" s="90"/>
      <c r="BU364" s="109">
        <v>45253</v>
      </c>
    </row>
    <row r="365" spans="22:73" x14ac:dyDescent="0.25">
      <c r="V365" s="90"/>
      <c r="Z365" s="90"/>
      <c r="BU365" s="109">
        <v>45254</v>
      </c>
    </row>
    <row r="366" spans="22:73" x14ac:dyDescent="0.25">
      <c r="V366" s="90"/>
      <c r="Z366" s="90"/>
      <c r="BU366" s="109">
        <v>45255</v>
      </c>
    </row>
    <row r="367" spans="22:73" x14ac:dyDescent="0.25">
      <c r="V367" s="90"/>
      <c r="Z367" s="90"/>
      <c r="BU367" s="109">
        <v>45256</v>
      </c>
    </row>
    <row r="368" spans="22:73" x14ac:dyDescent="0.25">
      <c r="V368" s="90"/>
      <c r="Z368" s="90"/>
      <c r="BU368" s="109">
        <v>45257</v>
      </c>
    </row>
    <row r="369" spans="22:73" x14ac:dyDescent="0.25">
      <c r="V369" s="90"/>
      <c r="Z369" s="90"/>
      <c r="BU369" s="109">
        <v>45258</v>
      </c>
    </row>
    <row r="370" spans="22:73" x14ac:dyDescent="0.25">
      <c r="V370" s="90"/>
      <c r="Z370" s="90"/>
      <c r="BU370" s="109">
        <v>45259</v>
      </c>
    </row>
    <row r="371" spans="22:73" x14ac:dyDescent="0.25">
      <c r="V371" s="90"/>
      <c r="Z371" s="90"/>
      <c r="BU371" s="109">
        <v>45260</v>
      </c>
    </row>
    <row r="372" spans="22:73" x14ac:dyDescent="0.25">
      <c r="V372" s="90"/>
      <c r="Z372" s="90"/>
      <c r="BU372" s="109">
        <v>45261</v>
      </c>
    </row>
    <row r="373" spans="22:73" x14ac:dyDescent="0.25">
      <c r="V373" s="90"/>
      <c r="Z373" s="90"/>
      <c r="BU373" s="109">
        <v>45262</v>
      </c>
    </row>
    <row r="374" spans="22:73" x14ac:dyDescent="0.25">
      <c r="V374" s="90"/>
      <c r="Z374" s="90"/>
      <c r="BU374" s="109">
        <v>45263</v>
      </c>
    </row>
    <row r="375" spans="22:73" x14ac:dyDescent="0.25">
      <c r="V375" s="90"/>
      <c r="Z375" s="90"/>
      <c r="BU375" s="109">
        <v>45264</v>
      </c>
    </row>
    <row r="376" spans="22:73" x14ac:dyDescent="0.25">
      <c r="V376" s="90"/>
      <c r="Z376" s="90"/>
      <c r="BU376" s="109">
        <v>45265</v>
      </c>
    </row>
    <row r="377" spans="22:73" x14ac:dyDescent="0.25">
      <c r="V377" s="90"/>
      <c r="Z377" s="90"/>
      <c r="BU377" s="109">
        <v>45266</v>
      </c>
    </row>
    <row r="378" spans="22:73" x14ac:dyDescent="0.25">
      <c r="V378" s="90"/>
      <c r="Z378" s="90"/>
      <c r="BU378" s="109">
        <v>45267</v>
      </c>
    </row>
    <row r="379" spans="22:73" x14ac:dyDescent="0.25">
      <c r="V379" s="90"/>
      <c r="Z379" s="90"/>
      <c r="BU379" s="109">
        <v>45268</v>
      </c>
    </row>
    <row r="380" spans="22:73" x14ac:dyDescent="0.25">
      <c r="V380" s="90"/>
      <c r="Z380" s="90"/>
      <c r="BU380" s="109">
        <v>45269</v>
      </c>
    </row>
    <row r="381" spans="22:73" x14ac:dyDescent="0.25">
      <c r="V381" s="90"/>
      <c r="Z381" s="90"/>
      <c r="BU381" s="109">
        <v>45270</v>
      </c>
    </row>
    <row r="382" spans="22:73" x14ac:dyDescent="0.25">
      <c r="V382" s="90"/>
      <c r="Z382" s="90"/>
      <c r="BU382" s="109">
        <v>45271</v>
      </c>
    </row>
    <row r="383" spans="22:73" x14ac:dyDescent="0.25">
      <c r="V383" s="90"/>
      <c r="Z383" s="90"/>
      <c r="BU383" s="109">
        <v>45272</v>
      </c>
    </row>
    <row r="384" spans="22:73" x14ac:dyDescent="0.25">
      <c r="V384" s="90"/>
      <c r="Z384" s="90"/>
      <c r="BU384" s="109">
        <v>45273</v>
      </c>
    </row>
    <row r="385" spans="22:73" x14ac:dyDescent="0.25">
      <c r="V385" s="90"/>
      <c r="Z385" s="90"/>
      <c r="BU385" s="109">
        <v>45274</v>
      </c>
    </row>
    <row r="386" spans="22:73" x14ac:dyDescent="0.25">
      <c r="V386" s="90"/>
      <c r="Z386" s="90"/>
      <c r="BU386" s="109">
        <v>45275</v>
      </c>
    </row>
    <row r="387" spans="22:73" x14ac:dyDescent="0.25">
      <c r="V387" s="90"/>
      <c r="Z387" s="90"/>
      <c r="BU387" s="109">
        <v>45276</v>
      </c>
    </row>
    <row r="388" spans="22:73" x14ac:dyDescent="0.25">
      <c r="V388" s="90"/>
      <c r="Z388" s="90"/>
      <c r="BU388" s="109">
        <v>45277</v>
      </c>
    </row>
    <row r="389" spans="22:73" x14ac:dyDescent="0.25">
      <c r="V389" s="90"/>
      <c r="Z389" s="90"/>
      <c r="BU389" s="109">
        <v>45278</v>
      </c>
    </row>
    <row r="390" spans="22:73" x14ac:dyDescent="0.25">
      <c r="V390" s="90"/>
      <c r="Z390" s="90"/>
      <c r="BU390" s="109">
        <v>45279</v>
      </c>
    </row>
    <row r="391" spans="22:73" x14ac:dyDescent="0.25">
      <c r="V391" s="90"/>
      <c r="Z391" s="90"/>
      <c r="BU391" s="109">
        <v>45280</v>
      </c>
    </row>
    <row r="392" spans="22:73" x14ac:dyDescent="0.25">
      <c r="V392" s="90"/>
      <c r="Z392" s="90"/>
      <c r="BU392" s="109">
        <v>45281</v>
      </c>
    </row>
    <row r="393" spans="22:73" x14ac:dyDescent="0.25">
      <c r="V393" s="90"/>
      <c r="Z393" s="90"/>
      <c r="BU393" s="109">
        <v>45282</v>
      </c>
    </row>
    <row r="394" spans="22:73" x14ac:dyDescent="0.25">
      <c r="V394" s="90"/>
      <c r="Z394" s="90"/>
      <c r="BU394" s="109">
        <v>45283</v>
      </c>
    </row>
    <row r="395" spans="22:73" x14ac:dyDescent="0.25">
      <c r="V395" s="90"/>
      <c r="Z395" s="90"/>
      <c r="BU395" s="109">
        <v>45284</v>
      </c>
    </row>
    <row r="396" spans="22:73" x14ac:dyDescent="0.25">
      <c r="V396" s="90"/>
      <c r="Z396" s="90"/>
      <c r="BU396" s="109">
        <v>45285</v>
      </c>
    </row>
    <row r="397" spans="22:73" x14ac:dyDescent="0.25">
      <c r="V397" s="90"/>
      <c r="Z397" s="90"/>
      <c r="BU397" s="109">
        <v>45286</v>
      </c>
    </row>
    <row r="398" spans="22:73" x14ac:dyDescent="0.25">
      <c r="V398" s="90"/>
      <c r="Z398" s="90"/>
      <c r="BU398" s="109">
        <v>45287</v>
      </c>
    </row>
    <row r="399" spans="22:73" x14ac:dyDescent="0.25">
      <c r="V399" s="90"/>
      <c r="Z399" s="90"/>
      <c r="BU399" s="109">
        <v>45288</v>
      </c>
    </row>
    <row r="400" spans="22:73" x14ac:dyDescent="0.25">
      <c r="V400" s="90"/>
      <c r="Z400" s="90"/>
      <c r="BU400" s="109">
        <v>45289</v>
      </c>
    </row>
    <row r="401" spans="22:73" x14ac:dyDescent="0.25">
      <c r="V401" s="90"/>
      <c r="Z401" s="90"/>
      <c r="BU401" s="109">
        <v>45290</v>
      </c>
    </row>
    <row r="402" spans="22:73" x14ac:dyDescent="0.25">
      <c r="V402" s="90"/>
      <c r="Z402" s="90"/>
      <c r="BU402" s="109">
        <v>45291</v>
      </c>
    </row>
    <row r="403" spans="22:73" x14ac:dyDescent="0.25">
      <c r="V403" s="90"/>
      <c r="Z403" s="90"/>
      <c r="BU403" s="109">
        <v>45292</v>
      </c>
    </row>
    <row r="404" spans="22:73" x14ac:dyDescent="0.25">
      <c r="V404" s="90"/>
      <c r="Z404" s="90"/>
      <c r="BU404" s="109">
        <v>45293</v>
      </c>
    </row>
    <row r="405" spans="22:73" x14ac:dyDescent="0.25">
      <c r="V405" s="90"/>
      <c r="Z405" s="90"/>
      <c r="BU405" s="109">
        <v>45294</v>
      </c>
    </row>
    <row r="406" spans="22:73" x14ac:dyDescent="0.25">
      <c r="V406" s="90"/>
      <c r="Z406" s="90"/>
      <c r="BU406" s="109">
        <v>45295</v>
      </c>
    </row>
    <row r="407" spans="22:73" x14ac:dyDescent="0.25">
      <c r="V407" s="90"/>
      <c r="Z407" s="90"/>
      <c r="BU407" s="109">
        <v>45296</v>
      </c>
    </row>
    <row r="408" spans="22:73" x14ac:dyDescent="0.25">
      <c r="V408" s="90"/>
      <c r="Z408" s="90"/>
      <c r="BU408" s="109">
        <v>45297</v>
      </c>
    </row>
    <row r="409" spans="22:73" x14ac:dyDescent="0.25">
      <c r="V409" s="90"/>
      <c r="Z409" s="90"/>
      <c r="BU409" s="109">
        <v>45298</v>
      </c>
    </row>
    <row r="410" spans="22:73" x14ac:dyDescent="0.25">
      <c r="V410" s="90"/>
      <c r="Z410" s="90"/>
      <c r="BU410" s="109">
        <v>45299</v>
      </c>
    </row>
    <row r="411" spans="22:73" x14ac:dyDescent="0.25">
      <c r="V411" s="90"/>
      <c r="Z411" s="90"/>
      <c r="BU411" s="109">
        <v>45300</v>
      </c>
    </row>
    <row r="412" spans="22:73" x14ac:dyDescent="0.25">
      <c r="V412" s="90"/>
      <c r="Z412" s="90"/>
      <c r="BU412" s="109">
        <v>45301</v>
      </c>
    </row>
    <row r="413" spans="22:73" x14ac:dyDescent="0.25">
      <c r="V413" s="90"/>
      <c r="Z413" s="90"/>
      <c r="BU413" s="109">
        <v>45302</v>
      </c>
    </row>
    <row r="414" spans="22:73" x14ac:dyDescent="0.25">
      <c r="V414" s="90"/>
      <c r="Z414" s="90"/>
      <c r="BU414" s="109">
        <v>45303</v>
      </c>
    </row>
    <row r="415" spans="22:73" x14ac:dyDescent="0.25">
      <c r="V415" s="90"/>
      <c r="Z415" s="90"/>
      <c r="BU415" s="109">
        <v>45304</v>
      </c>
    </row>
    <row r="416" spans="22:73" x14ac:dyDescent="0.25">
      <c r="V416" s="90"/>
      <c r="Z416" s="90"/>
      <c r="BU416" s="109">
        <v>45305</v>
      </c>
    </row>
    <row r="417" spans="22:73" x14ac:dyDescent="0.25">
      <c r="V417" s="90"/>
      <c r="Z417" s="90"/>
      <c r="BU417" s="109">
        <v>45306</v>
      </c>
    </row>
    <row r="418" spans="22:73" x14ac:dyDescent="0.25">
      <c r="V418" s="90"/>
      <c r="Z418" s="90"/>
      <c r="BU418" s="109">
        <v>45307</v>
      </c>
    </row>
    <row r="419" spans="22:73" x14ac:dyDescent="0.25">
      <c r="V419" s="90"/>
      <c r="Z419" s="90"/>
      <c r="BU419" s="109">
        <v>45308</v>
      </c>
    </row>
    <row r="420" spans="22:73" x14ac:dyDescent="0.25">
      <c r="V420" s="90"/>
      <c r="Z420" s="90"/>
      <c r="BU420" s="109">
        <v>45309</v>
      </c>
    </row>
    <row r="421" spans="22:73" x14ac:dyDescent="0.25">
      <c r="V421" s="90"/>
      <c r="Z421" s="90"/>
      <c r="BU421" s="109">
        <v>45310</v>
      </c>
    </row>
    <row r="422" spans="22:73" x14ac:dyDescent="0.25">
      <c r="V422" s="90"/>
      <c r="Z422" s="90"/>
      <c r="BU422" s="109">
        <v>45311</v>
      </c>
    </row>
    <row r="423" spans="22:73" x14ac:dyDescent="0.25">
      <c r="V423" s="90"/>
      <c r="Z423" s="90"/>
      <c r="BU423" s="109">
        <v>45312</v>
      </c>
    </row>
    <row r="424" spans="22:73" x14ac:dyDescent="0.25">
      <c r="V424" s="90"/>
      <c r="Z424" s="90"/>
      <c r="BU424" s="109">
        <v>45313</v>
      </c>
    </row>
    <row r="425" spans="22:73" x14ac:dyDescent="0.25">
      <c r="V425" s="90"/>
      <c r="Z425" s="90"/>
      <c r="BU425" s="109">
        <v>45314</v>
      </c>
    </row>
    <row r="426" spans="22:73" x14ac:dyDescent="0.25">
      <c r="V426" s="90"/>
      <c r="Z426" s="90"/>
      <c r="BU426" s="109">
        <v>45315</v>
      </c>
    </row>
    <row r="427" spans="22:73" x14ac:dyDescent="0.25">
      <c r="V427" s="90"/>
      <c r="Z427" s="90"/>
      <c r="BU427" s="109">
        <v>45316</v>
      </c>
    </row>
    <row r="428" spans="22:73" x14ac:dyDescent="0.25">
      <c r="V428" s="90"/>
      <c r="Z428" s="90"/>
      <c r="BU428" s="109">
        <v>45317</v>
      </c>
    </row>
    <row r="429" spans="22:73" x14ac:dyDescent="0.25">
      <c r="V429" s="90"/>
      <c r="Z429" s="90"/>
      <c r="BU429" s="109">
        <v>45318</v>
      </c>
    </row>
    <row r="430" spans="22:73" x14ac:dyDescent="0.25">
      <c r="V430" s="90"/>
      <c r="Z430" s="90"/>
      <c r="BU430" s="109">
        <v>45319</v>
      </c>
    </row>
    <row r="431" spans="22:73" x14ac:dyDescent="0.25">
      <c r="V431" s="90"/>
      <c r="Z431" s="90"/>
      <c r="BU431" s="109">
        <v>45320</v>
      </c>
    </row>
    <row r="432" spans="22:73" x14ac:dyDescent="0.25">
      <c r="V432" s="90"/>
      <c r="Z432" s="90"/>
      <c r="BU432" s="109">
        <v>45321</v>
      </c>
    </row>
    <row r="433" spans="22:73" x14ac:dyDescent="0.25">
      <c r="V433" s="90"/>
      <c r="Z433" s="90"/>
      <c r="BU433" s="109">
        <v>45322</v>
      </c>
    </row>
    <row r="434" spans="22:73" x14ac:dyDescent="0.25">
      <c r="V434" s="90"/>
      <c r="Z434" s="90"/>
      <c r="BU434" s="109">
        <v>45323</v>
      </c>
    </row>
    <row r="435" spans="22:73" x14ac:dyDescent="0.25">
      <c r="V435" s="90"/>
      <c r="Z435" s="90"/>
      <c r="BU435" s="109">
        <v>45324</v>
      </c>
    </row>
    <row r="436" spans="22:73" x14ac:dyDescent="0.25">
      <c r="V436" s="90"/>
      <c r="Z436" s="90"/>
      <c r="BU436" s="109">
        <v>45325</v>
      </c>
    </row>
    <row r="437" spans="22:73" x14ac:dyDescent="0.25">
      <c r="V437" s="90"/>
      <c r="Z437" s="90"/>
      <c r="BU437" s="109">
        <v>45326</v>
      </c>
    </row>
    <row r="438" spans="22:73" x14ac:dyDescent="0.25">
      <c r="V438" s="90"/>
      <c r="Z438" s="90"/>
      <c r="BU438" s="109">
        <v>45327</v>
      </c>
    </row>
    <row r="439" spans="22:73" x14ac:dyDescent="0.25">
      <c r="V439" s="90"/>
      <c r="Z439" s="90"/>
      <c r="BU439" s="109">
        <v>45328</v>
      </c>
    </row>
    <row r="440" spans="22:73" x14ac:dyDescent="0.25">
      <c r="V440" s="90"/>
      <c r="Z440" s="90"/>
      <c r="BU440" s="109">
        <v>45329</v>
      </c>
    </row>
    <row r="441" spans="22:73" x14ac:dyDescent="0.25">
      <c r="V441" s="90"/>
      <c r="Z441" s="90"/>
      <c r="BU441" s="109">
        <v>45330</v>
      </c>
    </row>
    <row r="442" spans="22:73" x14ac:dyDescent="0.25">
      <c r="V442" s="90"/>
      <c r="Z442" s="90"/>
      <c r="BU442" s="109">
        <v>45331</v>
      </c>
    </row>
    <row r="443" spans="22:73" x14ac:dyDescent="0.25">
      <c r="V443" s="90"/>
      <c r="Z443" s="90"/>
      <c r="BU443" s="109">
        <v>45332</v>
      </c>
    </row>
    <row r="444" spans="22:73" x14ac:dyDescent="0.25">
      <c r="V444" s="90"/>
      <c r="Z444" s="90"/>
      <c r="BU444" s="109">
        <v>45333</v>
      </c>
    </row>
    <row r="445" spans="22:73" x14ac:dyDescent="0.25">
      <c r="V445" s="90"/>
      <c r="Z445" s="90"/>
      <c r="BU445" s="109">
        <v>45334</v>
      </c>
    </row>
    <row r="446" spans="22:73" x14ac:dyDescent="0.25">
      <c r="V446" s="90"/>
      <c r="Z446" s="90"/>
      <c r="BU446" s="109">
        <v>45335</v>
      </c>
    </row>
    <row r="447" spans="22:73" x14ac:dyDescent="0.25">
      <c r="V447" s="90"/>
      <c r="Z447" s="90"/>
      <c r="BU447" s="109">
        <v>45336</v>
      </c>
    </row>
    <row r="448" spans="22:73" x14ac:dyDescent="0.25">
      <c r="V448" s="90"/>
      <c r="Z448" s="90"/>
      <c r="BU448" s="109">
        <v>45337</v>
      </c>
    </row>
    <row r="449" spans="22:73" x14ac:dyDescent="0.25">
      <c r="V449" s="90"/>
      <c r="Z449" s="90"/>
      <c r="BU449" s="109">
        <v>45338</v>
      </c>
    </row>
    <row r="450" spans="22:73" x14ac:dyDescent="0.25">
      <c r="V450" s="90"/>
      <c r="Z450" s="90"/>
      <c r="BU450" s="109">
        <v>45339</v>
      </c>
    </row>
    <row r="451" spans="22:73" x14ac:dyDescent="0.25">
      <c r="V451" s="90"/>
      <c r="Z451" s="90"/>
      <c r="BU451" s="109">
        <v>45340</v>
      </c>
    </row>
    <row r="452" spans="22:73" x14ac:dyDescent="0.25">
      <c r="V452" s="90"/>
      <c r="Z452" s="90"/>
      <c r="BU452" s="109">
        <v>45341</v>
      </c>
    </row>
    <row r="453" spans="22:73" x14ac:dyDescent="0.25">
      <c r="V453" s="90"/>
      <c r="Z453" s="90"/>
      <c r="BU453" s="109">
        <v>45342</v>
      </c>
    </row>
    <row r="454" spans="22:73" x14ac:dyDescent="0.25">
      <c r="V454" s="90"/>
      <c r="Z454" s="90"/>
      <c r="BU454" s="109">
        <v>45343</v>
      </c>
    </row>
    <row r="455" spans="22:73" x14ac:dyDescent="0.25">
      <c r="V455" s="90"/>
      <c r="Z455" s="90"/>
      <c r="BU455" s="109">
        <v>45344</v>
      </c>
    </row>
    <row r="456" spans="22:73" x14ac:dyDescent="0.25">
      <c r="V456" s="90"/>
      <c r="Z456" s="90"/>
      <c r="BU456" s="109">
        <v>45345</v>
      </c>
    </row>
    <row r="457" spans="22:73" x14ac:dyDescent="0.25">
      <c r="V457" s="90"/>
      <c r="Z457" s="90"/>
      <c r="BU457" s="109">
        <v>45346</v>
      </c>
    </row>
    <row r="458" spans="22:73" x14ac:dyDescent="0.25">
      <c r="V458" s="90"/>
      <c r="Z458" s="90"/>
      <c r="BU458" s="109">
        <v>45347</v>
      </c>
    </row>
    <row r="459" spans="22:73" x14ac:dyDescent="0.25">
      <c r="V459" s="90"/>
      <c r="Z459" s="90"/>
      <c r="BU459" s="109">
        <v>45348</v>
      </c>
    </row>
    <row r="460" spans="22:73" x14ac:dyDescent="0.25">
      <c r="V460" s="90"/>
      <c r="Z460" s="90"/>
      <c r="BU460" s="109">
        <v>45349</v>
      </c>
    </row>
    <row r="461" spans="22:73" x14ac:dyDescent="0.25">
      <c r="V461" s="90"/>
      <c r="Z461" s="90"/>
      <c r="BU461" s="109">
        <v>45350</v>
      </c>
    </row>
    <row r="462" spans="22:73" x14ac:dyDescent="0.25">
      <c r="V462" s="90"/>
      <c r="Z462" s="90"/>
      <c r="BU462" s="109">
        <v>45351</v>
      </c>
    </row>
    <row r="463" spans="22:73" x14ac:dyDescent="0.25">
      <c r="V463" s="90"/>
      <c r="Z463" s="90"/>
      <c r="BU463" s="109">
        <v>45352</v>
      </c>
    </row>
    <row r="464" spans="22:73" x14ac:dyDescent="0.25">
      <c r="V464" s="90"/>
      <c r="Z464" s="90"/>
      <c r="BU464" s="109">
        <v>45353</v>
      </c>
    </row>
    <row r="465" spans="22:73" x14ac:dyDescent="0.25">
      <c r="V465" s="90"/>
      <c r="Z465" s="90"/>
      <c r="BU465" s="109">
        <v>45354</v>
      </c>
    </row>
    <row r="466" spans="22:73" x14ac:dyDescent="0.25">
      <c r="V466" s="90"/>
      <c r="Z466" s="90"/>
      <c r="BU466" s="109">
        <v>45355</v>
      </c>
    </row>
    <row r="467" spans="22:73" x14ac:dyDescent="0.25">
      <c r="V467" s="90"/>
      <c r="Z467" s="90"/>
      <c r="BU467" s="109">
        <v>45356</v>
      </c>
    </row>
    <row r="468" spans="22:73" x14ac:dyDescent="0.25">
      <c r="V468" s="90"/>
      <c r="Z468" s="90"/>
      <c r="BU468" s="109">
        <v>45357</v>
      </c>
    </row>
    <row r="469" spans="22:73" x14ac:dyDescent="0.25">
      <c r="V469" s="90"/>
      <c r="Z469" s="90"/>
      <c r="BU469" s="109">
        <v>45358</v>
      </c>
    </row>
    <row r="470" spans="22:73" x14ac:dyDescent="0.25">
      <c r="V470" s="90"/>
      <c r="Z470" s="90"/>
      <c r="BU470" s="109">
        <v>45359</v>
      </c>
    </row>
    <row r="471" spans="22:73" x14ac:dyDescent="0.25">
      <c r="V471" s="90"/>
      <c r="Z471" s="90"/>
      <c r="BU471" s="109">
        <v>45360</v>
      </c>
    </row>
    <row r="472" spans="22:73" x14ac:dyDescent="0.25">
      <c r="V472" s="90"/>
      <c r="Z472" s="90"/>
      <c r="BU472" s="109">
        <v>45361</v>
      </c>
    </row>
    <row r="473" spans="22:73" x14ac:dyDescent="0.25">
      <c r="V473" s="90"/>
      <c r="Z473" s="90"/>
      <c r="BU473" s="109">
        <v>45362</v>
      </c>
    </row>
    <row r="474" spans="22:73" x14ac:dyDescent="0.25">
      <c r="V474" s="90"/>
      <c r="Z474" s="90"/>
      <c r="BU474" s="109">
        <v>45363</v>
      </c>
    </row>
    <row r="475" spans="22:73" x14ac:dyDescent="0.25">
      <c r="V475" s="90"/>
      <c r="Z475" s="90"/>
      <c r="BU475" s="109">
        <v>45364</v>
      </c>
    </row>
    <row r="476" spans="22:73" x14ac:dyDescent="0.25">
      <c r="V476" s="90"/>
      <c r="Z476" s="90"/>
      <c r="BU476" s="109">
        <v>45365</v>
      </c>
    </row>
    <row r="477" spans="22:73" x14ac:dyDescent="0.25">
      <c r="V477" s="90"/>
      <c r="Z477" s="90"/>
      <c r="BU477" s="109">
        <v>45366</v>
      </c>
    </row>
    <row r="478" spans="22:73" x14ac:dyDescent="0.25">
      <c r="V478" s="90"/>
      <c r="Z478" s="90"/>
      <c r="BU478" s="109">
        <v>45367</v>
      </c>
    </row>
    <row r="479" spans="22:73" x14ac:dyDescent="0.25">
      <c r="V479" s="90"/>
      <c r="Z479" s="90"/>
      <c r="BU479" s="109">
        <v>45368</v>
      </c>
    </row>
    <row r="480" spans="22:73" x14ac:dyDescent="0.25">
      <c r="V480" s="90"/>
      <c r="Z480" s="90"/>
      <c r="BU480" s="109">
        <v>45369</v>
      </c>
    </row>
    <row r="481" spans="22:73" x14ac:dyDescent="0.25">
      <c r="V481" s="90"/>
      <c r="Z481" s="90"/>
      <c r="BU481" s="109">
        <v>45370</v>
      </c>
    </row>
    <row r="482" spans="22:73" x14ac:dyDescent="0.25">
      <c r="V482" s="90"/>
      <c r="Z482" s="90"/>
      <c r="BU482" s="109">
        <v>45371</v>
      </c>
    </row>
    <row r="483" spans="22:73" x14ac:dyDescent="0.25">
      <c r="V483" s="90"/>
      <c r="Z483" s="90"/>
      <c r="BU483" s="109">
        <v>45372</v>
      </c>
    </row>
    <row r="484" spans="22:73" x14ac:dyDescent="0.25">
      <c r="V484" s="90"/>
      <c r="Z484" s="90"/>
      <c r="BU484" s="109">
        <v>45373</v>
      </c>
    </row>
    <row r="485" spans="22:73" x14ac:dyDescent="0.25">
      <c r="V485" s="90"/>
      <c r="Z485" s="90"/>
      <c r="BU485" s="109">
        <v>45374</v>
      </c>
    </row>
    <row r="486" spans="22:73" x14ac:dyDescent="0.25">
      <c r="V486" s="90"/>
      <c r="Z486" s="90"/>
      <c r="BU486" s="109">
        <v>45375</v>
      </c>
    </row>
    <row r="487" spans="22:73" x14ac:dyDescent="0.25">
      <c r="V487" s="90"/>
      <c r="Z487" s="90"/>
      <c r="BU487" s="109">
        <v>45376</v>
      </c>
    </row>
    <row r="488" spans="22:73" x14ac:dyDescent="0.25">
      <c r="V488" s="90"/>
      <c r="Z488" s="90"/>
      <c r="BU488" s="109">
        <v>45377</v>
      </c>
    </row>
    <row r="489" spans="22:73" x14ac:dyDescent="0.25">
      <c r="V489" s="90"/>
      <c r="Z489" s="90"/>
      <c r="BU489" s="109">
        <v>45378</v>
      </c>
    </row>
    <row r="490" spans="22:73" x14ac:dyDescent="0.25">
      <c r="V490" s="90"/>
      <c r="Z490" s="90"/>
      <c r="BU490" s="109">
        <v>45379</v>
      </c>
    </row>
    <row r="491" spans="22:73" x14ac:dyDescent="0.25">
      <c r="V491" s="90"/>
      <c r="Z491" s="90"/>
      <c r="BU491" s="109">
        <v>45380</v>
      </c>
    </row>
    <row r="492" spans="22:73" x14ac:dyDescent="0.25">
      <c r="V492" s="90"/>
      <c r="Z492" s="90"/>
      <c r="BU492" s="109">
        <v>45381</v>
      </c>
    </row>
    <row r="493" spans="22:73" x14ac:dyDescent="0.25">
      <c r="V493" s="90"/>
      <c r="Z493" s="90"/>
      <c r="BU493" s="109">
        <v>45382</v>
      </c>
    </row>
    <row r="494" spans="22:73" x14ac:dyDescent="0.25">
      <c r="V494" s="90"/>
      <c r="Z494" s="90"/>
      <c r="BU494" s="109">
        <v>45383</v>
      </c>
    </row>
    <row r="495" spans="22:73" x14ac:dyDescent="0.25">
      <c r="V495" s="90"/>
      <c r="Z495" s="90"/>
      <c r="BU495" s="109">
        <v>45384</v>
      </c>
    </row>
    <row r="496" spans="22:73" x14ac:dyDescent="0.25">
      <c r="V496" s="90"/>
      <c r="Z496" s="90"/>
      <c r="BU496" s="109">
        <v>45385</v>
      </c>
    </row>
    <row r="497" spans="22:73" x14ac:dyDescent="0.25">
      <c r="V497" s="90"/>
      <c r="Z497" s="90"/>
      <c r="BU497" s="109">
        <v>45386</v>
      </c>
    </row>
    <row r="498" spans="22:73" x14ac:dyDescent="0.25">
      <c r="V498" s="90"/>
      <c r="Z498" s="90"/>
      <c r="BU498" s="109">
        <v>45387</v>
      </c>
    </row>
    <row r="499" spans="22:73" x14ac:dyDescent="0.25">
      <c r="V499" s="90"/>
      <c r="Z499" s="90"/>
      <c r="BU499" s="109">
        <v>45388</v>
      </c>
    </row>
    <row r="500" spans="22:73" x14ac:dyDescent="0.25">
      <c r="V500" s="90"/>
      <c r="Z500" s="90"/>
      <c r="BU500" s="109">
        <v>45389</v>
      </c>
    </row>
    <row r="501" spans="22:73" x14ac:dyDescent="0.25">
      <c r="V501" s="90"/>
      <c r="Z501" s="90"/>
      <c r="BU501" s="109">
        <v>45390</v>
      </c>
    </row>
    <row r="502" spans="22:73" x14ac:dyDescent="0.25">
      <c r="V502" s="90"/>
      <c r="Z502" s="90"/>
      <c r="BU502" s="109">
        <v>45391</v>
      </c>
    </row>
    <row r="503" spans="22:73" x14ac:dyDescent="0.25">
      <c r="V503" s="90"/>
      <c r="Z503" s="90"/>
      <c r="BU503" s="109">
        <v>45392</v>
      </c>
    </row>
    <row r="504" spans="22:73" x14ac:dyDescent="0.25">
      <c r="V504" s="90"/>
      <c r="Z504" s="90"/>
      <c r="BU504" s="109">
        <v>45393</v>
      </c>
    </row>
    <row r="505" spans="22:73" x14ac:dyDescent="0.25">
      <c r="V505" s="90"/>
      <c r="Z505" s="90"/>
      <c r="BU505" s="109">
        <v>45394</v>
      </c>
    </row>
    <row r="506" spans="22:73" x14ac:dyDescent="0.25">
      <c r="V506" s="90"/>
      <c r="Z506" s="90"/>
      <c r="BU506" s="109">
        <v>45395</v>
      </c>
    </row>
    <row r="507" spans="22:73" x14ac:dyDescent="0.25">
      <c r="V507" s="90"/>
      <c r="Z507" s="90"/>
      <c r="BU507" s="109">
        <v>45396</v>
      </c>
    </row>
    <row r="508" spans="22:73" x14ac:dyDescent="0.25">
      <c r="V508" s="90"/>
      <c r="Z508" s="90"/>
      <c r="BU508" s="109">
        <v>45397</v>
      </c>
    </row>
    <row r="509" spans="22:73" x14ac:dyDescent="0.25">
      <c r="V509" s="90"/>
      <c r="Z509" s="90"/>
      <c r="BU509" s="109">
        <v>45398</v>
      </c>
    </row>
    <row r="510" spans="22:73" x14ac:dyDescent="0.25">
      <c r="V510" s="90"/>
      <c r="Z510" s="90"/>
      <c r="BU510" s="109">
        <v>45399</v>
      </c>
    </row>
    <row r="511" spans="22:73" x14ac:dyDescent="0.25">
      <c r="V511" s="90"/>
      <c r="Z511" s="90"/>
      <c r="BU511" s="109">
        <v>45400</v>
      </c>
    </row>
    <row r="512" spans="22:73" x14ac:dyDescent="0.25">
      <c r="V512" s="90"/>
      <c r="Z512" s="90"/>
      <c r="BU512" s="109">
        <v>45401</v>
      </c>
    </row>
    <row r="513" spans="22:73" x14ac:dyDescent="0.25">
      <c r="V513" s="90"/>
      <c r="Z513" s="90"/>
      <c r="BU513" s="109">
        <v>45402</v>
      </c>
    </row>
    <row r="514" spans="22:73" x14ac:dyDescent="0.25">
      <c r="V514" s="90"/>
      <c r="Z514" s="90"/>
      <c r="BU514" s="109">
        <v>45403</v>
      </c>
    </row>
    <row r="515" spans="22:73" x14ac:dyDescent="0.25">
      <c r="V515" s="90"/>
      <c r="Z515" s="90"/>
      <c r="BU515" s="109">
        <v>45404</v>
      </c>
    </row>
    <row r="516" spans="22:73" x14ac:dyDescent="0.25">
      <c r="V516" s="90"/>
      <c r="Z516" s="90"/>
      <c r="BU516" s="109">
        <v>45405</v>
      </c>
    </row>
    <row r="517" spans="22:73" x14ac:dyDescent="0.25">
      <c r="V517" s="90"/>
      <c r="Z517" s="90"/>
      <c r="BU517" s="109">
        <v>45406</v>
      </c>
    </row>
    <row r="518" spans="22:73" x14ac:dyDescent="0.25">
      <c r="V518" s="90"/>
      <c r="Z518" s="90"/>
      <c r="BU518" s="109">
        <v>45407</v>
      </c>
    </row>
    <row r="519" spans="22:73" x14ac:dyDescent="0.25">
      <c r="V519" s="90"/>
      <c r="Z519" s="90"/>
      <c r="BU519" s="109">
        <v>45408</v>
      </c>
    </row>
    <row r="520" spans="22:73" x14ac:dyDescent="0.25">
      <c r="V520" s="90"/>
      <c r="Z520" s="90"/>
      <c r="BU520" s="109">
        <v>45409</v>
      </c>
    </row>
    <row r="521" spans="22:73" x14ac:dyDescent="0.25">
      <c r="V521" s="90"/>
      <c r="Z521" s="90"/>
      <c r="BU521" s="109">
        <v>45410</v>
      </c>
    </row>
    <row r="522" spans="22:73" x14ac:dyDescent="0.25">
      <c r="V522" s="90"/>
      <c r="Z522" s="90"/>
      <c r="BU522" s="109">
        <v>45411</v>
      </c>
    </row>
    <row r="523" spans="22:73" x14ac:dyDescent="0.25">
      <c r="V523" s="90"/>
      <c r="Z523" s="90"/>
      <c r="BU523" s="109">
        <v>45412</v>
      </c>
    </row>
    <row r="524" spans="22:73" x14ac:dyDescent="0.25">
      <c r="V524" s="90"/>
      <c r="Z524" s="90"/>
      <c r="BU524" s="109">
        <v>45413</v>
      </c>
    </row>
    <row r="525" spans="22:73" x14ac:dyDescent="0.25">
      <c r="V525" s="90"/>
      <c r="Z525" s="90"/>
      <c r="BU525" s="109">
        <v>45414</v>
      </c>
    </row>
    <row r="526" spans="22:73" x14ac:dyDescent="0.25">
      <c r="V526" s="90"/>
      <c r="Z526" s="90"/>
      <c r="BU526" s="109">
        <v>45415</v>
      </c>
    </row>
    <row r="527" spans="22:73" x14ac:dyDescent="0.25">
      <c r="V527" s="90"/>
      <c r="Z527" s="90"/>
      <c r="BU527" s="109">
        <v>45416</v>
      </c>
    </row>
    <row r="528" spans="22:73" x14ac:dyDescent="0.25">
      <c r="V528" s="90"/>
      <c r="Z528" s="90"/>
      <c r="BU528" s="109">
        <v>45417</v>
      </c>
    </row>
    <row r="529" spans="22:73" x14ac:dyDescent="0.25">
      <c r="V529" s="90"/>
      <c r="Z529" s="90"/>
      <c r="BU529" s="109">
        <v>45418</v>
      </c>
    </row>
    <row r="530" spans="22:73" x14ac:dyDescent="0.25">
      <c r="V530" s="90"/>
      <c r="Z530" s="90"/>
      <c r="BU530" s="109">
        <v>45419</v>
      </c>
    </row>
    <row r="531" spans="22:73" x14ac:dyDescent="0.25">
      <c r="V531" s="90"/>
      <c r="Z531" s="90"/>
      <c r="BU531" s="109">
        <v>45420</v>
      </c>
    </row>
    <row r="532" spans="22:73" x14ac:dyDescent="0.25">
      <c r="V532" s="90"/>
      <c r="Z532" s="90"/>
      <c r="BU532" s="109">
        <v>45421</v>
      </c>
    </row>
    <row r="533" spans="22:73" x14ac:dyDescent="0.25">
      <c r="V533" s="90"/>
      <c r="Z533" s="90"/>
      <c r="BU533" s="109">
        <v>45422</v>
      </c>
    </row>
    <row r="534" spans="22:73" x14ac:dyDescent="0.25">
      <c r="V534" s="90"/>
      <c r="Z534" s="90"/>
      <c r="BU534" s="109">
        <v>45423</v>
      </c>
    </row>
    <row r="535" spans="22:73" x14ac:dyDescent="0.25">
      <c r="V535" s="90"/>
      <c r="Z535" s="90"/>
      <c r="BU535" s="109">
        <v>45424</v>
      </c>
    </row>
    <row r="536" spans="22:73" x14ac:dyDescent="0.25">
      <c r="V536" s="90"/>
      <c r="Z536" s="90"/>
      <c r="BU536" s="109">
        <v>45425</v>
      </c>
    </row>
    <row r="537" spans="22:73" x14ac:dyDescent="0.25">
      <c r="V537" s="90"/>
      <c r="Z537" s="90"/>
      <c r="BU537" s="109">
        <v>45426</v>
      </c>
    </row>
    <row r="538" spans="22:73" x14ac:dyDescent="0.25">
      <c r="V538" s="90"/>
      <c r="Z538" s="90"/>
      <c r="BU538" s="109">
        <v>45427</v>
      </c>
    </row>
    <row r="539" spans="22:73" x14ac:dyDescent="0.25">
      <c r="V539" s="90"/>
      <c r="Z539" s="90"/>
      <c r="BU539" s="109">
        <v>45428</v>
      </c>
    </row>
    <row r="540" spans="22:73" x14ac:dyDescent="0.25">
      <c r="V540" s="90"/>
      <c r="Z540" s="90"/>
      <c r="BU540" s="109">
        <v>45429</v>
      </c>
    </row>
    <row r="541" spans="22:73" x14ac:dyDescent="0.25">
      <c r="V541" s="90"/>
      <c r="Z541" s="90"/>
      <c r="BU541" s="109">
        <v>45430</v>
      </c>
    </row>
    <row r="542" spans="22:73" x14ac:dyDescent="0.25">
      <c r="V542" s="90"/>
      <c r="Z542" s="90"/>
      <c r="BU542" s="109">
        <v>45431</v>
      </c>
    </row>
    <row r="543" spans="22:73" x14ac:dyDescent="0.25">
      <c r="V543" s="90"/>
      <c r="Z543" s="90"/>
      <c r="BU543" s="109">
        <v>45432</v>
      </c>
    </row>
    <row r="544" spans="22:73" x14ac:dyDescent="0.25">
      <c r="V544" s="90"/>
      <c r="Z544" s="90"/>
      <c r="BU544" s="109">
        <v>45433</v>
      </c>
    </row>
    <row r="545" spans="22:73" x14ac:dyDescent="0.25">
      <c r="V545" s="90"/>
      <c r="Z545" s="90"/>
      <c r="BU545" s="109">
        <v>45434</v>
      </c>
    </row>
    <row r="546" spans="22:73" x14ac:dyDescent="0.25">
      <c r="V546" s="90"/>
      <c r="Z546" s="90"/>
      <c r="BU546" s="109">
        <v>45435</v>
      </c>
    </row>
    <row r="547" spans="22:73" x14ac:dyDescent="0.25">
      <c r="V547" s="90"/>
      <c r="Z547" s="90"/>
      <c r="BU547" s="109">
        <v>45436</v>
      </c>
    </row>
    <row r="548" spans="22:73" x14ac:dyDescent="0.25">
      <c r="V548" s="90"/>
      <c r="Z548" s="90"/>
      <c r="BU548" s="109">
        <v>45437</v>
      </c>
    </row>
    <row r="549" spans="22:73" x14ac:dyDescent="0.25">
      <c r="V549" s="90"/>
      <c r="Z549" s="90"/>
      <c r="BU549" s="109">
        <v>45438</v>
      </c>
    </row>
    <row r="550" spans="22:73" x14ac:dyDescent="0.25">
      <c r="V550" s="90"/>
      <c r="Z550" s="90"/>
      <c r="BU550" s="109">
        <v>45439</v>
      </c>
    </row>
    <row r="551" spans="22:73" x14ac:dyDescent="0.25">
      <c r="V551" s="90"/>
      <c r="Z551" s="90"/>
      <c r="BU551" s="109">
        <v>45440</v>
      </c>
    </row>
    <row r="552" spans="22:73" x14ac:dyDescent="0.25">
      <c r="V552" s="90"/>
      <c r="Z552" s="90"/>
      <c r="BU552" s="109">
        <v>45441</v>
      </c>
    </row>
    <row r="553" spans="22:73" x14ac:dyDescent="0.25">
      <c r="V553" s="90"/>
      <c r="Z553" s="90"/>
      <c r="BU553" s="109">
        <v>45442</v>
      </c>
    </row>
    <row r="554" spans="22:73" x14ac:dyDescent="0.25">
      <c r="V554" s="90"/>
      <c r="Z554" s="90"/>
      <c r="BU554" s="109">
        <v>45443</v>
      </c>
    </row>
    <row r="555" spans="22:73" x14ac:dyDescent="0.25">
      <c r="V555" s="90"/>
      <c r="Z555" s="90"/>
      <c r="BU555" s="109">
        <v>45444</v>
      </c>
    </row>
    <row r="556" spans="22:73" x14ac:dyDescent="0.25">
      <c r="V556" s="90"/>
      <c r="Z556" s="90"/>
      <c r="BU556" s="109">
        <v>45445</v>
      </c>
    </row>
    <row r="557" spans="22:73" x14ac:dyDescent="0.25">
      <c r="V557" s="90"/>
      <c r="Z557" s="90"/>
      <c r="BU557" s="109">
        <v>45446</v>
      </c>
    </row>
    <row r="558" spans="22:73" x14ac:dyDescent="0.25">
      <c r="V558" s="90"/>
      <c r="Z558" s="90"/>
      <c r="BU558" s="109">
        <v>45447</v>
      </c>
    </row>
    <row r="559" spans="22:73" x14ac:dyDescent="0.25">
      <c r="V559" s="90"/>
      <c r="Z559" s="90"/>
      <c r="BU559" s="109">
        <v>45448</v>
      </c>
    </row>
    <row r="560" spans="22:73" x14ac:dyDescent="0.25">
      <c r="V560" s="90"/>
      <c r="Z560" s="90"/>
      <c r="BU560" s="109">
        <v>45449</v>
      </c>
    </row>
    <row r="561" spans="22:73" x14ac:dyDescent="0.25">
      <c r="V561" s="90"/>
      <c r="Z561" s="90"/>
      <c r="BU561" s="109">
        <v>45450</v>
      </c>
    </row>
    <row r="562" spans="22:73" x14ac:dyDescent="0.25">
      <c r="V562" s="90"/>
      <c r="Z562" s="90"/>
      <c r="BU562" s="109">
        <v>45451</v>
      </c>
    </row>
    <row r="563" spans="22:73" x14ac:dyDescent="0.25">
      <c r="V563" s="90"/>
      <c r="Z563" s="90"/>
      <c r="BU563" s="109">
        <v>45452</v>
      </c>
    </row>
    <row r="564" spans="22:73" x14ac:dyDescent="0.25">
      <c r="V564" s="90"/>
      <c r="Z564" s="90"/>
      <c r="BU564" s="109">
        <v>45453</v>
      </c>
    </row>
    <row r="565" spans="22:73" x14ac:dyDescent="0.25">
      <c r="V565" s="90"/>
      <c r="Z565" s="90"/>
      <c r="BU565" s="109">
        <v>45454</v>
      </c>
    </row>
    <row r="566" spans="22:73" x14ac:dyDescent="0.25">
      <c r="V566" s="90"/>
      <c r="Z566" s="90"/>
      <c r="BU566" s="109">
        <v>45455</v>
      </c>
    </row>
    <row r="567" spans="22:73" x14ac:dyDescent="0.25">
      <c r="V567" s="90"/>
      <c r="Z567" s="90"/>
      <c r="BU567" s="109">
        <v>45456</v>
      </c>
    </row>
    <row r="568" spans="22:73" x14ac:dyDescent="0.25">
      <c r="V568" s="90"/>
      <c r="Z568" s="90"/>
      <c r="BU568" s="109">
        <v>45457</v>
      </c>
    </row>
    <row r="569" spans="22:73" x14ac:dyDescent="0.25">
      <c r="V569" s="90"/>
      <c r="Z569" s="90"/>
      <c r="BU569" s="109">
        <v>45458</v>
      </c>
    </row>
    <row r="570" spans="22:73" x14ac:dyDescent="0.25">
      <c r="V570" s="90"/>
      <c r="Z570" s="90"/>
      <c r="BU570" s="109">
        <v>45459</v>
      </c>
    </row>
    <row r="571" spans="22:73" x14ac:dyDescent="0.25">
      <c r="V571" s="90"/>
      <c r="Z571" s="90"/>
      <c r="BU571" s="109">
        <v>45460</v>
      </c>
    </row>
    <row r="572" spans="22:73" x14ac:dyDescent="0.25">
      <c r="V572" s="90"/>
      <c r="Z572" s="90"/>
      <c r="BU572" s="109">
        <v>45461</v>
      </c>
    </row>
    <row r="573" spans="22:73" x14ac:dyDescent="0.25">
      <c r="V573" s="90"/>
      <c r="Z573" s="90"/>
      <c r="BU573" s="109">
        <v>45462</v>
      </c>
    </row>
    <row r="574" spans="22:73" x14ac:dyDescent="0.25">
      <c r="V574" s="90"/>
      <c r="Z574" s="90"/>
      <c r="BU574" s="109">
        <v>45463</v>
      </c>
    </row>
    <row r="575" spans="22:73" x14ac:dyDescent="0.25">
      <c r="V575" s="90"/>
      <c r="Z575" s="90"/>
      <c r="BU575" s="109">
        <v>45464</v>
      </c>
    </row>
    <row r="576" spans="22:73" x14ac:dyDescent="0.25">
      <c r="V576" s="90"/>
      <c r="Z576" s="90"/>
      <c r="BU576" s="109">
        <v>45465</v>
      </c>
    </row>
    <row r="577" spans="22:73" x14ac:dyDescent="0.25">
      <c r="V577" s="90"/>
      <c r="Z577" s="90"/>
      <c r="BU577" s="109">
        <v>45466</v>
      </c>
    </row>
    <row r="578" spans="22:73" x14ac:dyDescent="0.25">
      <c r="V578" s="90"/>
      <c r="Z578" s="90"/>
      <c r="BU578" s="109">
        <v>45467</v>
      </c>
    </row>
    <row r="579" spans="22:73" x14ac:dyDescent="0.25">
      <c r="V579" s="90"/>
      <c r="Z579" s="90"/>
      <c r="BU579" s="109">
        <v>45468</v>
      </c>
    </row>
    <row r="580" spans="22:73" x14ac:dyDescent="0.25">
      <c r="V580" s="90"/>
      <c r="Z580" s="90"/>
      <c r="BU580" s="109">
        <v>45469</v>
      </c>
    </row>
    <row r="581" spans="22:73" x14ac:dyDescent="0.25">
      <c r="V581" s="90"/>
      <c r="Z581" s="90"/>
      <c r="BU581" s="109">
        <v>45470</v>
      </c>
    </row>
    <row r="582" spans="22:73" x14ac:dyDescent="0.25">
      <c r="V582" s="90"/>
      <c r="Z582" s="90"/>
      <c r="BU582" s="109">
        <v>45471</v>
      </c>
    </row>
    <row r="583" spans="22:73" x14ac:dyDescent="0.25">
      <c r="V583" s="90"/>
      <c r="Z583" s="90"/>
      <c r="BU583" s="109">
        <v>45472</v>
      </c>
    </row>
    <row r="584" spans="22:73" x14ac:dyDescent="0.25">
      <c r="V584" s="90"/>
      <c r="Z584" s="90"/>
      <c r="BU584" s="109">
        <v>45473</v>
      </c>
    </row>
    <row r="585" spans="22:73" x14ac:dyDescent="0.25">
      <c r="V585" s="90"/>
      <c r="Z585" s="90"/>
      <c r="BU585" s="109">
        <v>45474</v>
      </c>
    </row>
    <row r="586" spans="22:73" x14ac:dyDescent="0.25">
      <c r="V586" s="90"/>
      <c r="Z586" s="90"/>
      <c r="BU586" s="109">
        <v>45475</v>
      </c>
    </row>
    <row r="587" spans="22:73" x14ac:dyDescent="0.25">
      <c r="V587" s="90"/>
      <c r="Z587" s="90"/>
      <c r="BU587" s="109">
        <v>45476</v>
      </c>
    </row>
    <row r="588" spans="22:73" x14ac:dyDescent="0.25">
      <c r="V588" s="90"/>
      <c r="Z588" s="90"/>
      <c r="BU588" s="109">
        <v>45477</v>
      </c>
    </row>
    <row r="589" spans="22:73" x14ac:dyDescent="0.25">
      <c r="V589" s="90"/>
      <c r="Z589" s="90"/>
      <c r="BU589" s="109">
        <v>45478</v>
      </c>
    </row>
    <row r="590" spans="22:73" x14ac:dyDescent="0.25">
      <c r="V590" s="90"/>
      <c r="Z590" s="90"/>
      <c r="BU590" s="109">
        <v>45479</v>
      </c>
    </row>
    <row r="591" spans="22:73" x14ac:dyDescent="0.25">
      <c r="V591" s="90"/>
      <c r="Z591" s="90"/>
      <c r="BU591" s="109">
        <v>45480</v>
      </c>
    </row>
    <row r="592" spans="22:73" x14ac:dyDescent="0.25">
      <c r="V592" s="90"/>
      <c r="Z592" s="90"/>
      <c r="BU592" s="109">
        <v>45481</v>
      </c>
    </row>
    <row r="593" spans="22:73" x14ac:dyDescent="0.25">
      <c r="V593" s="90"/>
      <c r="Z593" s="90"/>
      <c r="BU593" s="109">
        <v>45482</v>
      </c>
    </row>
    <row r="594" spans="22:73" x14ac:dyDescent="0.25">
      <c r="V594" s="90"/>
      <c r="Z594" s="90"/>
      <c r="BU594" s="109">
        <v>45483</v>
      </c>
    </row>
    <row r="595" spans="22:73" x14ac:dyDescent="0.25">
      <c r="V595" s="90"/>
      <c r="Z595" s="90"/>
      <c r="BU595" s="109">
        <v>45484</v>
      </c>
    </row>
    <row r="596" spans="22:73" x14ac:dyDescent="0.25">
      <c r="V596" s="90"/>
      <c r="Z596" s="90"/>
      <c r="BU596" s="109">
        <v>45485</v>
      </c>
    </row>
    <row r="597" spans="22:73" x14ac:dyDescent="0.25">
      <c r="V597" s="90"/>
      <c r="Z597" s="90"/>
      <c r="BU597" s="109">
        <v>45486</v>
      </c>
    </row>
    <row r="598" spans="22:73" x14ac:dyDescent="0.25">
      <c r="V598" s="90"/>
      <c r="Z598" s="90"/>
      <c r="BU598" s="109">
        <v>45487</v>
      </c>
    </row>
    <row r="599" spans="22:73" x14ac:dyDescent="0.25">
      <c r="V599" s="90"/>
      <c r="Z599" s="90"/>
      <c r="BU599" s="109">
        <v>45488</v>
      </c>
    </row>
    <row r="600" spans="22:73" x14ac:dyDescent="0.25">
      <c r="V600" s="90"/>
      <c r="Z600" s="90"/>
      <c r="BU600" s="109">
        <v>45489</v>
      </c>
    </row>
    <row r="601" spans="22:73" x14ac:dyDescent="0.25">
      <c r="V601" s="90"/>
      <c r="Z601" s="90"/>
      <c r="BU601" s="109">
        <v>45490</v>
      </c>
    </row>
    <row r="602" spans="22:73" x14ac:dyDescent="0.25">
      <c r="V602" s="90"/>
      <c r="Z602" s="90"/>
      <c r="BU602" s="109">
        <v>45491</v>
      </c>
    </row>
    <row r="603" spans="22:73" x14ac:dyDescent="0.25">
      <c r="V603" s="90"/>
      <c r="Z603" s="90"/>
      <c r="BU603" s="109">
        <v>45492</v>
      </c>
    </row>
    <row r="604" spans="22:73" x14ac:dyDescent="0.25">
      <c r="V604" s="90"/>
      <c r="Z604" s="90"/>
      <c r="BU604" s="109">
        <v>45493</v>
      </c>
    </row>
    <row r="605" spans="22:73" x14ac:dyDescent="0.25">
      <c r="V605" s="90"/>
      <c r="Z605" s="90"/>
      <c r="BU605" s="109">
        <v>45494</v>
      </c>
    </row>
    <row r="606" spans="22:73" x14ac:dyDescent="0.25">
      <c r="V606" s="90"/>
      <c r="Z606" s="90"/>
      <c r="BU606" s="109">
        <v>45495</v>
      </c>
    </row>
    <row r="607" spans="22:73" x14ac:dyDescent="0.25">
      <c r="V607" s="90"/>
      <c r="Z607" s="90"/>
      <c r="BU607" s="109">
        <v>45496</v>
      </c>
    </row>
    <row r="608" spans="22:73" x14ac:dyDescent="0.25">
      <c r="V608" s="90"/>
      <c r="Z608" s="90"/>
      <c r="BU608" s="109">
        <v>45497</v>
      </c>
    </row>
    <row r="609" spans="22:73" x14ac:dyDescent="0.25">
      <c r="V609" s="90"/>
      <c r="Z609" s="90"/>
      <c r="BU609" s="109">
        <v>45498</v>
      </c>
    </row>
    <row r="610" spans="22:73" x14ac:dyDescent="0.25">
      <c r="V610" s="90"/>
      <c r="Z610" s="90"/>
      <c r="BU610" s="109">
        <v>45499</v>
      </c>
    </row>
    <row r="611" spans="22:73" x14ac:dyDescent="0.25">
      <c r="V611" s="90"/>
      <c r="Z611" s="90"/>
      <c r="BU611" s="109">
        <v>45500</v>
      </c>
    </row>
    <row r="612" spans="22:73" x14ac:dyDescent="0.25">
      <c r="V612" s="90"/>
      <c r="Z612" s="90"/>
      <c r="BU612" s="109">
        <v>45501</v>
      </c>
    </row>
    <row r="613" spans="22:73" x14ac:dyDescent="0.25">
      <c r="V613" s="90"/>
      <c r="Z613" s="90"/>
      <c r="BU613" s="109">
        <v>45502</v>
      </c>
    </row>
    <row r="614" spans="22:73" x14ac:dyDescent="0.25">
      <c r="V614" s="90"/>
      <c r="Z614" s="90"/>
      <c r="BU614" s="109">
        <v>45503</v>
      </c>
    </row>
    <row r="615" spans="22:73" x14ac:dyDescent="0.25">
      <c r="V615" s="90"/>
      <c r="Z615" s="90"/>
      <c r="BU615" s="109">
        <v>45504</v>
      </c>
    </row>
    <row r="616" spans="22:73" x14ac:dyDescent="0.25">
      <c r="V616" s="90"/>
      <c r="Z616" s="90"/>
      <c r="BU616" s="109">
        <v>45505</v>
      </c>
    </row>
    <row r="617" spans="22:73" x14ac:dyDescent="0.25">
      <c r="V617" s="90"/>
      <c r="Z617" s="90"/>
      <c r="BU617" s="109">
        <v>45506</v>
      </c>
    </row>
    <row r="618" spans="22:73" x14ac:dyDescent="0.25">
      <c r="V618" s="90"/>
      <c r="Z618" s="90"/>
      <c r="BU618" s="109">
        <v>45507</v>
      </c>
    </row>
    <row r="619" spans="22:73" x14ac:dyDescent="0.25">
      <c r="V619" s="90"/>
      <c r="Z619" s="90"/>
      <c r="BU619" s="109">
        <v>45508</v>
      </c>
    </row>
    <row r="620" spans="22:73" x14ac:dyDescent="0.25">
      <c r="V620" s="90"/>
      <c r="Z620" s="90"/>
      <c r="BU620" s="109">
        <v>45509</v>
      </c>
    </row>
    <row r="621" spans="22:73" x14ac:dyDescent="0.25">
      <c r="V621" s="90"/>
      <c r="Z621" s="90"/>
      <c r="BU621" s="109">
        <v>45510</v>
      </c>
    </row>
    <row r="622" spans="22:73" x14ac:dyDescent="0.25">
      <c r="V622" s="90"/>
      <c r="Z622" s="90"/>
      <c r="BU622" s="109">
        <v>45511</v>
      </c>
    </row>
    <row r="623" spans="22:73" x14ac:dyDescent="0.25">
      <c r="V623" s="90"/>
      <c r="Z623" s="90"/>
      <c r="BU623" s="109">
        <v>45512</v>
      </c>
    </row>
    <row r="624" spans="22:73" x14ac:dyDescent="0.25">
      <c r="V624" s="90"/>
      <c r="Z624" s="90"/>
      <c r="BU624" s="109">
        <v>45513</v>
      </c>
    </row>
    <row r="625" spans="22:73" x14ac:dyDescent="0.25">
      <c r="V625" s="90"/>
      <c r="Z625" s="90"/>
      <c r="BU625" s="109">
        <v>45514</v>
      </c>
    </row>
    <row r="626" spans="22:73" x14ac:dyDescent="0.25">
      <c r="V626" s="90"/>
      <c r="Z626" s="90"/>
      <c r="BU626" s="109">
        <v>45515</v>
      </c>
    </row>
    <row r="627" spans="22:73" x14ac:dyDescent="0.25">
      <c r="V627" s="90"/>
      <c r="Z627" s="90"/>
      <c r="BU627" s="109">
        <v>45516</v>
      </c>
    </row>
    <row r="628" spans="22:73" x14ac:dyDescent="0.25">
      <c r="V628" s="90"/>
      <c r="Z628" s="90"/>
      <c r="BU628" s="109">
        <v>45517</v>
      </c>
    </row>
    <row r="629" spans="22:73" x14ac:dyDescent="0.25">
      <c r="V629" s="90"/>
      <c r="Z629" s="90"/>
      <c r="BU629" s="109">
        <v>45518</v>
      </c>
    </row>
    <row r="630" spans="22:73" x14ac:dyDescent="0.25">
      <c r="V630" s="90"/>
      <c r="Z630" s="90"/>
      <c r="BU630" s="109">
        <v>45519</v>
      </c>
    </row>
    <row r="631" spans="22:73" x14ac:dyDescent="0.25">
      <c r="V631" s="90"/>
      <c r="Z631" s="90"/>
      <c r="BU631" s="109">
        <v>45520</v>
      </c>
    </row>
    <row r="632" spans="22:73" x14ac:dyDescent="0.25">
      <c r="V632" s="90"/>
      <c r="Z632" s="90"/>
      <c r="BU632" s="109">
        <v>45521</v>
      </c>
    </row>
    <row r="633" spans="22:73" x14ac:dyDescent="0.25">
      <c r="V633" s="90"/>
      <c r="Z633" s="90"/>
      <c r="BU633" s="109">
        <v>45522</v>
      </c>
    </row>
    <row r="634" spans="22:73" x14ac:dyDescent="0.25">
      <c r="V634" s="90"/>
      <c r="Z634" s="90"/>
      <c r="BU634" s="109">
        <v>45523</v>
      </c>
    </row>
    <row r="635" spans="22:73" x14ac:dyDescent="0.25">
      <c r="V635" s="90"/>
      <c r="Z635" s="90"/>
      <c r="BU635" s="109">
        <v>45524</v>
      </c>
    </row>
    <row r="636" spans="22:73" x14ac:dyDescent="0.25">
      <c r="V636" s="90"/>
      <c r="Z636" s="90"/>
      <c r="BU636" s="109">
        <v>45525</v>
      </c>
    </row>
    <row r="637" spans="22:73" x14ac:dyDescent="0.25">
      <c r="V637" s="90"/>
      <c r="Z637" s="90"/>
      <c r="BU637" s="109">
        <v>45526</v>
      </c>
    </row>
    <row r="638" spans="22:73" x14ac:dyDescent="0.25">
      <c r="V638" s="90"/>
      <c r="Z638" s="90"/>
      <c r="BU638" s="109">
        <v>45527</v>
      </c>
    </row>
    <row r="639" spans="22:73" x14ac:dyDescent="0.25">
      <c r="V639" s="90"/>
      <c r="Z639" s="90"/>
      <c r="BU639" s="109">
        <v>45528</v>
      </c>
    </row>
    <row r="640" spans="22:73" x14ac:dyDescent="0.25">
      <c r="V640" s="90"/>
      <c r="Z640" s="90"/>
      <c r="BU640" s="109">
        <v>45529</v>
      </c>
    </row>
    <row r="641" spans="22:73" x14ac:dyDescent="0.25">
      <c r="V641" s="90"/>
      <c r="Z641" s="90"/>
      <c r="BU641" s="109">
        <v>45530</v>
      </c>
    </row>
    <row r="642" spans="22:73" x14ac:dyDescent="0.25">
      <c r="V642" s="90"/>
      <c r="Z642" s="90"/>
      <c r="BU642" s="109">
        <v>45531</v>
      </c>
    </row>
    <row r="643" spans="22:73" x14ac:dyDescent="0.25">
      <c r="V643" s="90"/>
      <c r="Z643" s="90"/>
      <c r="BU643" s="109">
        <v>45532</v>
      </c>
    </row>
    <row r="644" spans="22:73" x14ac:dyDescent="0.25">
      <c r="V644" s="90"/>
      <c r="Z644" s="90"/>
      <c r="BU644" s="109">
        <v>45533</v>
      </c>
    </row>
    <row r="645" spans="22:73" x14ac:dyDescent="0.25">
      <c r="V645" s="90"/>
      <c r="Z645" s="90"/>
      <c r="BU645" s="109">
        <v>45534</v>
      </c>
    </row>
    <row r="646" spans="22:73" x14ac:dyDescent="0.25">
      <c r="V646" s="90"/>
      <c r="Z646" s="90"/>
      <c r="BU646" s="109">
        <v>45535</v>
      </c>
    </row>
    <row r="647" spans="22:73" x14ac:dyDescent="0.25">
      <c r="V647" s="90"/>
      <c r="Z647" s="90"/>
      <c r="BU647" s="109">
        <v>45536</v>
      </c>
    </row>
    <row r="648" spans="22:73" x14ac:dyDescent="0.25">
      <c r="V648" s="90"/>
      <c r="Z648" s="90"/>
      <c r="BU648" s="109">
        <v>45537</v>
      </c>
    </row>
    <row r="649" spans="22:73" x14ac:dyDescent="0.25">
      <c r="V649" s="90"/>
      <c r="Z649" s="90"/>
      <c r="BU649" s="109">
        <v>45538</v>
      </c>
    </row>
    <row r="650" spans="22:73" x14ac:dyDescent="0.25">
      <c r="V650" s="90"/>
      <c r="Z650" s="90"/>
      <c r="BU650" s="109">
        <v>45539</v>
      </c>
    </row>
    <row r="651" spans="22:73" x14ac:dyDescent="0.25">
      <c r="V651" s="90"/>
      <c r="Z651" s="90"/>
      <c r="BU651" s="109">
        <v>45540</v>
      </c>
    </row>
    <row r="652" spans="22:73" x14ac:dyDescent="0.25">
      <c r="V652" s="90"/>
      <c r="Z652" s="90"/>
      <c r="BU652" s="109">
        <v>45541</v>
      </c>
    </row>
    <row r="653" spans="22:73" x14ac:dyDescent="0.25">
      <c r="V653" s="90"/>
      <c r="Z653" s="90"/>
      <c r="BU653" s="109">
        <v>45542</v>
      </c>
    </row>
    <row r="654" spans="22:73" x14ac:dyDescent="0.25">
      <c r="V654" s="90"/>
      <c r="Z654" s="90"/>
      <c r="BU654" s="109">
        <v>45543</v>
      </c>
    </row>
    <row r="655" spans="22:73" x14ac:dyDescent="0.25">
      <c r="V655" s="90"/>
      <c r="Z655" s="90"/>
      <c r="BU655" s="109">
        <v>45544</v>
      </c>
    </row>
    <row r="656" spans="22:73" x14ac:dyDescent="0.25">
      <c r="V656" s="90"/>
      <c r="Z656" s="90"/>
      <c r="BU656" s="109">
        <v>45545</v>
      </c>
    </row>
    <row r="657" spans="22:73" x14ac:dyDescent="0.25">
      <c r="V657" s="90"/>
      <c r="Z657" s="90"/>
      <c r="BU657" s="109">
        <v>45546</v>
      </c>
    </row>
    <row r="658" spans="22:73" x14ac:dyDescent="0.25">
      <c r="V658" s="90"/>
      <c r="Z658" s="90"/>
      <c r="BU658" s="109">
        <v>45547</v>
      </c>
    </row>
    <row r="659" spans="22:73" x14ac:dyDescent="0.25">
      <c r="V659" s="90"/>
      <c r="Z659" s="90"/>
      <c r="BU659" s="109">
        <v>45548</v>
      </c>
    </row>
    <row r="660" spans="22:73" x14ac:dyDescent="0.25">
      <c r="V660" s="90"/>
      <c r="Z660" s="90"/>
      <c r="BU660" s="109">
        <v>45549</v>
      </c>
    </row>
    <row r="661" spans="22:73" x14ac:dyDescent="0.25">
      <c r="V661" s="90"/>
      <c r="Z661" s="90"/>
      <c r="BU661" s="109">
        <v>45550</v>
      </c>
    </row>
    <row r="662" spans="22:73" x14ac:dyDescent="0.25">
      <c r="V662" s="90"/>
      <c r="Z662" s="90"/>
      <c r="BU662" s="109">
        <v>45551</v>
      </c>
    </row>
    <row r="663" spans="22:73" x14ac:dyDescent="0.25">
      <c r="V663" s="90"/>
      <c r="Z663" s="90"/>
      <c r="BU663" s="109">
        <v>45552</v>
      </c>
    </row>
    <row r="664" spans="22:73" x14ac:dyDescent="0.25">
      <c r="V664" s="90"/>
      <c r="Z664" s="90"/>
      <c r="BU664" s="109">
        <v>45553</v>
      </c>
    </row>
    <row r="665" spans="22:73" x14ac:dyDescent="0.25">
      <c r="V665" s="90"/>
      <c r="Z665" s="90"/>
      <c r="BU665" s="109">
        <v>45554</v>
      </c>
    </row>
    <row r="666" spans="22:73" x14ac:dyDescent="0.25">
      <c r="V666" s="90"/>
      <c r="Z666" s="90"/>
      <c r="BU666" s="109">
        <v>45555</v>
      </c>
    </row>
    <row r="667" spans="22:73" x14ac:dyDescent="0.25">
      <c r="V667" s="90"/>
      <c r="Z667" s="90"/>
      <c r="BU667" s="109">
        <v>45556</v>
      </c>
    </row>
    <row r="668" spans="22:73" x14ac:dyDescent="0.25">
      <c r="V668" s="90"/>
      <c r="Z668" s="90"/>
      <c r="BU668" s="109">
        <v>45557</v>
      </c>
    </row>
    <row r="669" spans="22:73" x14ac:dyDescent="0.25">
      <c r="V669" s="90"/>
      <c r="Z669" s="90"/>
      <c r="BU669" s="109">
        <v>45558</v>
      </c>
    </row>
    <row r="670" spans="22:73" x14ac:dyDescent="0.25">
      <c r="V670" s="90"/>
      <c r="Z670" s="90"/>
      <c r="BU670" s="109">
        <v>45559</v>
      </c>
    </row>
    <row r="671" spans="22:73" x14ac:dyDescent="0.25">
      <c r="V671" s="90"/>
      <c r="Z671" s="90"/>
      <c r="BU671" s="109">
        <v>45560</v>
      </c>
    </row>
    <row r="672" spans="22:73" x14ac:dyDescent="0.25">
      <c r="V672" s="90"/>
      <c r="Z672" s="90"/>
      <c r="BU672" s="109">
        <v>45561</v>
      </c>
    </row>
    <row r="673" spans="22:73" x14ac:dyDescent="0.25">
      <c r="V673" s="90"/>
      <c r="Z673" s="90"/>
      <c r="BU673" s="109">
        <v>45562</v>
      </c>
    </row>
    <row r="674" spans="22:73" x14ac:dyDescent="0.25">
      <c r="V674" s="90"/>
      <c r="Z674" s="90"/>
      <c r="BU674" s="109">
        <v>45563</v>
      </c>
    </row>
    <row r="675" spans="22:73" x14ac:dyDescent="0.25">
      <c r="V675" s="90"/>
      <c r="Z675" s="90"/>
      <c r="BU675" s="109">
        <v>45564</v>
      </c>
    </row>
    <row r="676" spans="22:73" x14ac:dyDescent="0.25">
      <c r="V676" s="90"/>
      <c r="Z676" s="90"/>
      <c r="BU676" s="109">
        <v>45565</v>
      </c>
    </row>
    <row r="677" spans="22:73" x14ac:dyDescent="0.25">
      <c r="V677" s="90"/>
      <c r="Z677" s="90"/>
      <c r="BU677" s="109">
        <v>45566</v>
      </c>
    </row>
    <row r="678" spans="22:73" x14ac:dyDescent="0.25">
      <c r="V678" s="90"/>
      <c r="Z678" s="90"/>
      <c r="BU678" s="109">
        <v>45567</v>
      </c>
    </row>
    <row r="679" spans="22:73" x14ac:dyDescent="0.25">
      <c r="V679" s="90"/>
      <c r="Z679" s="90"/>
      <c r="BU679" s="109">
        <v>45568</v>
      </c>
    </row>
    <row r="680" spans="22:73" x14ac:dyDescent="0.25">
      <c r="V680" s="90"/>
      <c r="Z680" s="90"/>
      <c r="BU680" s="109">
        <v>45569</v>
      </c>
    </row>
    <row r="681" spans="22:73" x14ac:dyDescent="0.25">
      <c r="V681" s="90"/>
      <c r="Z681" s="90"/>
      <c r="BU681" s="109">
        <v>45570</v>
      </c>
    </row>
    <row r="682" spans="22:73" x14ac:dyDescent="0.25">
      <c r="V682" s="90"/>
      <c r="Z682" s="90"/>
      <c r="BU682" s="109">
        <v>45571</v>
      </c>
    </row>
    <row r="683" spans="22:73" x14ac:dyDescent="0.25">
      <c r="V683" s="90"/>
      <c r="Z683" s="90"/>
      <c r="BU683" s="109">
        <v>45572</v>
      </c>
    </row>
    <row r="684" spans="22:73" x14ac:dyDescent="0.25">
      <c r="V684" s="90"/>
      <c r="Z684" s="90"/>
      <c r="BU684" s="109">
        <v>45573</v>
      </c>
    </row>
    <row r="685" spans="22:73" x14ac:dyDescent="0.25">
      <c r="V685" s="90"/>
      <c r="Z685" s="90"/>
      <c r="BU685" s="109">
        <v>45574</v>
      </c>
    </row>
    <row r="686" spans="22:73" x14ac:dyDescent="0.25">
      <c r="V686" s="90"/>
      <c r="Z686" s="90"/>
      <c r="BU686" s="109">
        <v>45575</v>
      </c>
    </row>
    <row r="687" spans="22:73" x14ac:dyDescent="0.25">
      <c r="V687" s="90"/>
      <c r="Z687" s="90"/>
      <c r="BU687" s="109">
        <v>45576</v>
      </c>
    </row>
    <row r="688" spans="22:73" x14ac:dyDescent="0.25">
      <c r="V688" s="90"/>
      <c r="Z688" s="90"/>
      <c r="BU688" s="109">
        <v>45577</v>
      </c>
    </row>
    <row r="689" spans="22:73" x14ac:dyDescent="0.25">
      <c r="V689" s="90"/>
      <c r="Z689" s="90"/>
      <c r="BU689" s="109">
        <v>45578</v>
      </c>
    </row>
    <row r="690" spans="22:73" x14ac:dyDescent="0.25">
      <c r="V690" s="90"/>
      <c r="Z690" s="90"/>
      <c r="BU690" s="109">
        <v>45579</v>
      </c>
    </row>
    <row r="691" spans="22:73" x14ac:dyDescent="0.25">
      <c r="V691" s="90"/>
      <c r="Z691" s="90"/>
      <c r="BU691" s="109">
        <v>45580</v>
      </c>
    </row>
    <row r="692" spans="22:73" x14ac:dyDescent="0.25">
      <c r="V692" s="90"/>
      <c r="Z692" s="90"/>
      <c r="BU692" s="109">
        <v>45581</v>
      </c>
    </row>
    <row r="693" spans="22:73" x14ac:dyDescent="0.25">
      <c r="V693" s="90"/>
      <c r="Z693" s="90"/>
      <c r="BU693" s="109">
        <v>45582</v>
      </c>
    </row>
    <row r="694" spans="22:73" x14ac:dyDescent="0.25">
      <c r="V694" s="90"/>
      <c r="Z694" s="90"/>
      <c r="BU694" s="109">
        <v>45583</v>
      </c>
    </row>
    <row r="695" spans="22:73" x14ac:dyDescent="0.25">
      <c r="V695" s="90"/>
      <c r="Z695" s="90"/>
      <c r="BU695" s="109">
        <v>45584</v>
      </c>
    </row>
    <row r="696" spans="22:73" x14ac:dyDescent="0.25">
      <c r="V696" s="90"/>
      <c r="Z696" s="90"/>
      <c r="BU696" s="109">
        <v>45585</v>
      </c>
    </row>
    <row r="697" spans="22:73" x14ac:dyDescent="0.25">
      <c r="V697" s="90"/>
      <c r="Z697" s="90"/>
      <c r="BU697" s="109">
        <v>45586</v>
      </c>
    </row>
    <row r="698" spans="22:73" x14ac:dyDescent="0.25">
      <c r="V698" s="90"/>
      <c r="Z698" s="90"/>
      <c r="BU698" s="109">
        <v>45587</v>
      </c>
    </row>
    <row r="699" spans="22:73" x14ac:dyDescent="0.25">
      <c r="V699" s="90"/>
      <c r="Z699" s="90"/>
      <c r="BU699" s="109">
        <v>45588</v>
      </c>
    </row>
    <row r="700" spans="22:73" x14ac:dyDescent="0.25">
      <c r="V700" s="90"/>
      <c r="Z700" s="90"/>
      <c r="BU700" s="109">
        <v>45589</v>
      </c>
    </row>
    <row r="701" spans="22:73" x14ac:dyDescent="0.25">
      <c r="V701" s="90"/>
      <c r="Z701" s="90"/>
      <c r="BU701" s="109">
        <v>45590</v>
      </c>
    </row>
    <row r="702" spans="22:73" x14ac:dyDescent="0.25">
      <c r="V702" s="90"/>
      <c r="Z702" s="90"/>
      <c r="BU702" s="109">
        <v>45591</v>
      </c>
    </row>
    <row r="703" spans="22:73" x14ac:dyDescent="0.25">
      <c r="V703" s="90"/>
      <c r="Z703" s="90"/>
      <c r="BU703" s="109">
        <v>45592</v>
      </c>
    </row>
    <row r="704" spans="22:73" x14ac:dyDescent="0.25">
      <c r="V704" s="90"/>
      <c r="Z704" s="90"/>
      <c r="BU704" s="109">
        <v>45593</v>
      </c>
    </row>
    <row r="705" spans="22:73" x14ac:dyDescent="0.25">
      <c r="V705" s="90"/>
      <c r="Z705" s="90"/>
      <c r="BU705" s="109">
        <v>45594</v>
      </c>
    </row>
    <row r="706" spans="22:73" x14ac:dyDescent="0.25">
      <c r="V706" s="90"/>
      <c r="Z706" s="90"/>
      <c r="BU706" s="109">
        <v>45595</v>
      </c>
    </row>
    <row r="707" spans="22:73" x14ac:dyDescent="0.25">
      <c r="V707" s="90"/>
      <c r="Z707" s="90"/>
      <c r="BU707" s="109">
        <v>45596</v>
      </c>
    </row>
    <row r="708" spans="22:73" x14ac:dyDescent="0.25">
      <c r="V708" s="90"/>
      <c r="Z708" s="90"/>
      <c r="BU708" s="109">
        <v>45597</v>
      </c>
    </row>
    <row r="709" spans="22:73" x14ac:dyDescent="0.25">
      <c r="V709" s="90"/>
      <c r="Z709" s="90"/>
      <c r="BU709" s="109">
        <v>45598</v>
      </c>
    </row>
    <row r="710" spans="22:73" x14ac:dyDescent="0.25">
      <c r="V710" s="90"/>
      <c r="Z710" s="90"/>
      <c r="BU710" s="109">
        <v>45599</v>
      </c>
    </row>
    <row r="711" spans="22:73" x14ac:dyDescent="0.25">
      <c r="V711" s="90"/>
      <c r="Z711" s="90"/>
      <c r="BU711" s="109">
        <v>45600</v>
      </c>
    </row>
    <row r="712" spans="22:73" x14ac:dyDescent="0.25">
      <c r="V712" s="90"/>
      <c r="Z712" s="90"/>
      <c r="BU712" s="109">
        <v>45601</v>
      </c>
    </row>
    <row r="713" spans="22:73" x14ac:dyDescent="0.25">
      <c r="V713" s="90"/>
      <c r="Z713" s="90"/>
      <c r="BU713" s="109">
        <v>45602</v>
      </c>
    </row>
    <row r="714" spans="22:73" x14ac:dyDescent="0.25">
      <c r="V714" s="90"/>
      <c r="Z714" s="90"/>
      <c r="BU714" s="109">
        <v>45603</v>
      </c>
    </row>
    <row r="715" spans="22:73" x14ac:dyDescent="0.25">
      <c r="V715" s="90"/>
      <c r="Z715" s="90"/>
      <c r="BU715" s="109">
        <v>45604</v>
      </c>
    </row>
    <row r="716" spans="22:73" x14ac:dyDescent="0.25">
      <c r="V716" s="90"/>
      <c r="Z716" s="90"/>
      <c r="BU716" s="109">
        <v>45605</v>
      </c>
    </row>
    <row r="717" spans="22:73" x14ac:dyDescent="0.25">
      <c r="V717" s="90"/>
      <c r="Z717" s="90"/>
      <c r="BU717" s="109">
        <v>45606</v>
      </c>
    </row>
    <row r="718" spans="22:73" x14ac:dyDescent="0.25">
      <c r="V718" s="90"/>
      <c r="Z718" s="90"/>
      <c r="BU718" s="109">
        <v>45607</v>
      </c>
    </row>
    <row r="719" spans="22:73" x14ac:dyDescent="0.25">
      <c r="V719" s="90"/>
      <c r="Z719" s="90"/>
      <c r="BU719" s="109">
        <v>45608</v>
      </c>
    </row>
    <row r="720" spans="22:73" x14ac:dyDescent="0.25">
      <c r="V720" s="90"/>
      <c r="Z720" s="90"/>
      <c r="BU720" s="109">
        <v>45609</v>
      </c>
    </row>
    <row r="721" spans="22:73" x14ac:dyDescent="0.25">
      <c r="V721" s="90"/>
      <c r="Z721" s="90"/>
      <c r="BU721" s="109">
        <v>45610</v>
      </c>
    </row>
    <row r="722" spans="22:73" x14ac:dyDescent="0.25">
      <c r="V722" s="90"/>
      <c r="Z722" s="90"/>
      <c r="BU722" s="109">
        <v>45611</v>
      </c>
    </row>
    <row r="723" spans="22:73" x14ac:dyDescent="0.25">
      <c r="V723" s="90"/>
      <c r="Z723" s="90"/>
      <c r="BU723" s="109">
        <v>45612</v>
      </c>
    </row>
    <row r="724" spans="22:73" x14ac:dyDescent="0.25">
      <c r="V724" s="90"/>
      <c r="Z724" s="90"/>
      <c r="BU724" s="109">
        <v>45613</v>
      </c>
    </row>
    <row r="725" spans="22:73" x14ac:dyDescent="0.25">
      <c r="V725" s="90"/>
      <c r="Z725" s="90"/>
      <c r="BU725" s="109">
        <v>45614</v>
      </c>
    </row>
    <row r="726" spans="22:73" x14ac:dyDescent="0.25">
      <c r="V726" s="90"/>
      <c r="Z726" s="90"/>
      <c r="BU726" s="109">
        <v>45615</v>
      </c>
    </row>
    <row r="727" spans="22:73" x14ac:dyDescent="0.25">
      <c r="V727" s="90"/>
      <c r="Z727" s="90"/>
      <c r="BU727" s="109">
        <v>45616</v>
      </c>
    </row>
    <row r="728" spans="22:73" x14ac:dyDescent="0.25">
      <c r="V728" s="90"/>
      <c r="Z728" s="90"/>
      <c r="BU728" s="109">
        <v>45617</v>
      </c>
    </row>
    <row r="729" spans="22:73" x14ac:dyDescent="0.25">
      <c r="V729" s="90"/>
      <c r="Z729" s="90"/>
      <c r="BU729" s="109">
        <v>45618</v>
      </c>
    </row>
    <row r="730" spans="22:73" x14ac:dyDescent="0.25">
      <c r="V730" s="90"/>
      <c r="Z730" s="90"/>
      <c r="BU730" s="109">
        <v>45619</v>
      </c>
    </row>
    <row r="731" spans="22:73" x14ac:dyDescent="0.25">
      <c r="V731" s="90"/>
      <c r="Z731" s="90"/>
      <c r="BU731" s="109">
        <v>45620</v>
      </c>
    </row>
    <row r="732" spans="22:73" x14ac:dyDescent="0.25">
      <c r="V732" s="90"/>
      <c r="Z732" s="90"/>
      <c r="BU732" s="109">
        <v>45621</v>
      </c>
    </row>
    <row r="733" spans="22:73" x14ac:dyDescent="0.25">
      <c r="V733" s="90"/>
      <c r="Z733" s="90"/>
      <c r="BU733" s="109">
        <v>45622</v>
      </c>
    </row>
    <row r="734" spans="22:73" x14ac:dyDescent="0.25">
      <c r="V734" s="90"/>
      <c r="Z734" s="90"/>
      <c r="BU734" s="109">
        <v>45623</v>
      </c>
    </row>
    <row r="735" spans="22:73" x14ac:dyDescent="0.25">
      <c r="V735" s="90"/>
      <c r="Z735" s="90"/>
      <c r="BU735" s="109">
        <v>45624</v>
      </c>
    </row>
    <row r="736" spans="22:73" x14ac:dyDescent="0.25">
      <c r="V736" s="90"/>
      <c r="Z736" s="90"/>
      <c r="BU736" s="109">
        <v>45625</v>
      </c>
    </row>
    <row r="737" spans="22:73" x14ac:dyDescent="0.25">
      <c r="V737" s="90"/>
      <c r="Z737" s="90"/>
      <c r="BU737" s="109">
        <v>45626</v>
      </c>
    </row>
    <row r="738" spans="22:73" x14ac:dyDescent="0.25">
      <c r="V738" s="90"/>
      <c r="Z738" s="90"/>
      <c r="BU738" s="109">
        <v>45627</v>
      </c>
    </row>
    <row r="739" spans="22:73" x14ac:dyDescent="0.25">
      <c r="V739" s="90"/>
      <c r="Z739" s="90"/>
      <c r="BU739" s="109">
        <v>45628</v>
      </c>
    </row>
    <row r="740" spans="22:73" x14ac:dyDescent="0.25">
      <c r="V740" s="90"/>
      <c r="Z740" s="90"/>
      <c r="BU740" s="109">
        <v>45629</v>
      </c>
    </row>
    <row r="741" spans="22:73" x14ac:dyDescent="0.25">
      <c r="V741" s="90"/>
      <c r="Z741" s="90"/>
      <c r="BU741" s="109">
        <v>45630</v>
      </c>
    </row>
    <row r="742" spans="22:73" x14ac:dyDescent="0.25">
      <c r="V742" s="90"/>
      <c r="Z742" s="90"/>
      <c r="BU742" s="109">
        <v>45631</v>
      </c>
    </row>
    <row r="743" spans="22:73" x14ac:dyDescent="0.25">
      <c r="V743" s="90"/>
      <c r="Z743" s="90"/>
      <c r="BU743" s="109">
        <v>45632</v>
      </c>
    </row>
    <row r="744" spans="22:73" x14ac:dyDescent="0.25">
      <c r="V744" s="90"/>
      <c r="Z744" s="90"/>
      <c r="BU744" s="109">
        <v>45633</v>
      </c>
    </row>
    <row r="745" spans="22:73" x14ac:dyDescent="0.25">
      <c r="V745" s="90"/>
      <c r="Z745" s="90"/>
      <c r="BU745" s="109">
        <v>45634</v>
      </c>
    </row>
    <row r="746" spans="22:73" x14ac:dyDescent="0.25">
      <c r="V746" s="90"/>
      <c r="Z746" s="90"/>
      <c r="BU746" s="109">
        <v>45635</v>
      </c>
    </row>
    <row r="747" spans="22:73" x14ac:dyDescent="0.25">
      <c r="V747" s="90"/>
      <c r="Z747" s="90"/>
      <c r="BU747" s="109">
        <v>45636</v>
      </c>
    </row>
    <row r="748" spans="22:73" x14ac:dyDescent="0.25">
      <c r="V748" s="90"/>
      <c r="Z748" s="90"/>
      <c r="BU748" s="109">
        <v>45637</v>
      </c>
    </row>
    <row r="749" spans="22:73" x14ac:dyDescent="0.25">
      <c r="V749" s="90"/>
      <c r="Z749" s="90"/>
      <c r="BU749" s="109">
        <v>45638</v>
      </c>
    </row>
    <row r="750" spans="22:73" x14ac:dyDescent="0.25">
      <c r="V750" s="90"/>
      <c r="BU750" s="109">
        <v>45639</v>
      </c>
    </row>
    <row r="751" spans="22:73" x14ac:dyDescent="0.25">
      <c r="V751" s="90"/>
      <c r="BU751" s="109">
        <v>45640</v>
      </c>
    </row>
    <row r="752" spans="22:73" x14ac:dyDescent="0.25">
      <c r="V752" s="90"/>
      <c r="BU752" s="109">
        <v>45641</v>
      </c>
    </row>
    <row r="753" spans="22:73" x14ac:dyDescent="0.25">
      <c r="V753" s="90"/>
      <c r="BU753" s="109">
        <v>45642</v>
      </c>
    </row>
    <row r="754" spans="22:73" x14ac:dyDescent="0.25">
      <c r="V754" s="90"/>
      <c r="BU754" s="109">
        <v>45643</v>
      </c>
    </row>
    <row r="755" spans="22:73" x14ac:dyDescent="0.25">
      <c r="V755" s="90"/>
      <c r="BU755" s="109">
        <v>45644</v>
      </c>
    </row>
    <row r="756" spans="22:73" x14ac:dyDescent="0.25">
      <c r="V756" s="90"/>
      <c r="BU756" s="109">
        <v>45645</v>
      </c>
    </row>
    <row r="757" spans="22:73" x14ac:dyDescent="0.25">
      <c r="V757" s="90"/>
      <c r="BU757" s="109">
        <v>45646</v>
      </c>
    </row>
    <row r="758" spans="22:73" x14ac:dyDescent="0.25">
      <c r="V758" s="90"/>
      <c r="BU758" s="109">
        <v>45647</v>
      </c>
    </row>
    <row r="759" spans="22:73" x14ac:dyDescent="0.25">
      <c r="V759" s="90"/>
      <c r="BU759" s="109">
        <v>45648</v>
      </c>
    </row>
    <row r="760" spans="22:73" x14ac:dyDescent="0.25">
      <c r="V760" s="90"/>
      <c r="BU760" s="109">
        <v>45649</v>
      </c>
    </row>
    <row r="761" spans="22:73" x14ac:dyDescent="0.25">
      <c r="V761" s="90"/>
      <c r="BU761" s="109">
        <v>45650</v>
      </c>
    </row>
    <row r="762" spans="22:73" x14ac:dyDescent="0.25">
      <c r="V762" s="90"/>
      <c r="BU762" s="109">
        <v>45651</v>
      </c>
    </row>
    <row r="763" spans="22:73" x14ac:dyDescent="0.25">
      <c r="V763" s="90"/>
      <c r="BU763" s="109">
        <v>45652</v>
      </c>
    </row>
    <row r="764" spans="22:73" x14ac:dyDescent="0.25">
      <c r="V764" s="90"/>
      <c r="BU764" s="109">
        <v>45653</v>
      </c>
    </row>
    <row r="765" spans="22:73" x14ac:dyDescent="0.25">
      <c r="V765" s="90"/>
      <c r="BU765" s="109">
        <v>45654</v>
      </c>
    </row>
    <row r="766" spans="22:73" x14ac:dyDescent="0.25">
      <c r="V766" s="90"/>
      <c r="BU766" s="109">
        <v>45655</v>
      </c>
    </row>
    <row r="767" spans="22:73" x14ac:dyDescent="0.25">
      <c r="V767" s="90"/>
      <c r="BU767" s="109">
        <v>45656</v>
      </c>
    </row>
    <row r="768" spans="22:22" x14ac:dyDescent="0.25">
      <c r="V768" s="90"/>
    </row>
    <row r="769" spans="22:22" x14ac:dyDescent="0.25">
      <c r="V769" s="90"/>
    </row>
    <row r="770" spans="22:22" x14ac:dyDescent="0.25">
      <c r="V770" s="90"/>
    </row>
    <row r="771" spans="22:22" x14ac:dyDescent="0.25">
      <c r="V771" s="90"/>
    </row>
    <row r="772" spans="22:22" x14ac:dyDescent="0.25">
      <c r="V772" s="90"/>
    </row>
    <row r="773" spans="22:22" x14ac:dyDescent="0.25">
      <c r="V773" s="90"/>
    </row>
    <row r="774" spans="22:22" x14ac:dyDescent="0.25">
      <c r="V774" s="90"/>
    </row>
    <row r="775" spans="22:22" x14ac:dyDescent="0.25">
      <c r="V775" s="90"/>
    </row>
    <row r="776" spans="22:22" x14ac:dyDescent="0.25">
      <c r="V776" s="90"/>
    </row>
    <row r="777" spans="22:22" x14ac:dyDescent="0.25">
      <c r="V777" s="90"/>
    </row>
    <row r="778" spans="22:22" x14ac:dyDescent="0.25">
      <c r="V778" s="90"/>
    </row>
    <row r="779" spans="22:22" x14ac:dyDescent="0.25">
      <c r="V779" s="90"/>
    </row>
    <row r="780" spans="22:22" x14ac:dyDescent="0.25">
      <c r="V780" s="90"/>
    </row>
    <row r="781" spans="22:22" x14ac:dyDescent="0.25">
      <c r="V781" s="90"/>
    </row>
    <row r="782" spans="22:22" x14ac:dyDescent="0.25">
      <c r="V782" s="90"/>
    </row>
    <row r="783" spans="22:22" x14ac:dyDescent="0.25">
      <c r="V783" s="90"/>
    </row>
    <row r="784" spans="22:22" x14ac:dyDescent="0.25">
      <c r="V784" s="90"/>
    </row>
    <row r="785" spans="22:22" x14ac:dyDescent="0.25">
      <c r="V785" s="90"/>
    </row>
    <row r="786" spans="22:22" x14ac:dyDescent="0.25">
      <c r="V786" s="90"/>
    </row>
    <row r="787" spans="22:22" x14ac:dyDescent="0.25">
      <c r="V787" s="90"/>
    </row>
    <row r="788" spans="22:22" x14ac:dyDescent="0.25">
      <c r="V788" s="90"/>
    </row>
    <row r="789" spans="22:22" x14ac:dyDescent="0.25">
      <c r="V789" s="90"/>
    </row>
    <row r="790" spans="22:22" x14ac:dyDescent="0.25">
      <c r="V790" s="90"/>
    </row>
    <row r="791" spans="22:22" x14ac:dyDescent="0.25">
      <c r="V791" s="90"/>
    </row>
    <row r="792" spans="22:22" x14ac:dyDescent="0.25">
      <c r="V792" s="90"/>
    </row>
    <row r="793" spans="22:22" x14ac:dyDescent="0.25">
      <c r="V793" s="90"/>
    </row>
    <row r="794" spans="22:22" x14ac:dyDescent="0.25">
      <c r="V794" s="90"/>
    </row>
    <row r="795" spans="22:22" x14ac:dyDescent="0.25">
      <c r="V795" s="90"/>
    </row>
    <row r="796" spans="22:22" x14ac:dyDescent="0.25">
      <c r="V796" s="90"/>
    </row>
    <row r="797" spans="22:22" x14ac:dyDescent="0.25">
      <c r="V797" s="90"/>
    </row>
    <row r="798" spans="22:22" x14ac:dyDescent="0.25">
      <c r="V798" s="90"/>
    </row>
    <row r="799" spans="22:22" x14ac:dyDescent="0.25">
      <c r="V799" s="90"/>
    </row>
    <row r="800" spans="22:22" x14ac:dyDescent="0.25">
      <c r="V800" s="90"/>
    </row>
    <row r="801" spans="22:22" x14ac:dyDescent="0.25">
      <c r="V801" s="90"/>
    </row>
    <row r="802" spans="22:22" x14ac:dyDescent="0.25">
      <c r="V802" s="90"/>
    </row>
    <row r="803" spans="22:22" x14ac:dyDescent="0.25">
      <c r="V803" s="90"/>
    </row>
    <row r="804" spans="22:22" x14ac:dyDescent="0.25">
      <c r="V804" s="90"/>
    </row>
    <row r="805" spans="22:22" x14ac:dyDescent="0.25">
      <c r="V805" s="90"/>
    </row>
    <row r="806" spans="22:22" x14ac:dyDescent="0.25">
      <c r="V806" s="90"/>
    </row>
    <row r="807" spans="22:22" x14ac:dyDescent="0.25">
      <c r="V807" s="90"/>
    </row>
    <row r="808" spans="22:22" x14ac:dyDescent="0.25">
      <c r="V808" s="90"/>
    </row>
    <row r="809" spans="22:22" x14ac:dyDescent="0.25">
      <c r="V809" s="90"/>
    </row>
    <row r="810" spans="22:22" x14ac:dyDescent="0.25">
      <c r="V810" s="90"/>
    </row>
    <row r="811" spans="22:22" x14ac:dyDescent="0.25">
      <c r="V811" s="90"/>
    </row>
    <row r="812" spans="22:22" x14ac:dyDescent="0.25">
      <c r="V812" s="90"/>
    </row>
    <row r="813" spans="22:22" x14ac:dyDescent="0.25">
      <c r="V813" s="90"/>
    </row>
    <row r="814" spans="22:22" x14ac:dyDescent="0.25">
      <c r="V814" s="90"/>
    </row>
    <row r="815" spans="22:22" x14ac:dyDescent="0.25">
      <c r="V815" s="90"/>
    </row>
    <row r="816" spans="22:22" x14ac:dyDescent="0.25">
      <c r="V816" s="90"/>
    </row>
    <row r="817" spans="22:22" x14ac:dyDescent="0.25">
      <c r="V817" s="90"/>
    </row>
    <row r="818" spans="22:22" x14ac:dyDescent="0.25">
      <c r="V818" s="90"/>
    </row>
    <row r="819" spans="22:22" x14ac:dyDescent="0.25">
      <c r="V819" s="90"/>
    </row>
    <row r="820" spans="22:22" x14ac:dyDescent="0.25">
      <c r="V820" s="90"/>
    </row>
    <row r="821" spans="22:22" x14ac:dyDescent="0.25">
      <c r="V821" s="90"/>
    </row>
    <row r="822" spans="22:22" x14ac:dyDescent="0.25">
      <c r="V822" s="90"/>
    </row>
    <row r="823" spans="22:22" x14ac:dyDescent="0.25">
      <c r="V823" s="90"/>
    </row>
    <row r="824" spans="22:22" x14ac:dyDescent="0.25">
      <c r="V824" s="90"/>
    </row>
    <row r="825" spans="22:22" x14ac:dyDescent="0.25">
      <c r="V825" s="90"/>
    </row>
    <row r="826" spans="22:22" x14ac:dyDescent="0.25">
      <c r="V826" s="90"/>
    </row>
    <row r="827" spans="22:22" x14ac:dyDescent="0.25">
      <c r="V827" s="90"/>
    </row>
    <row r="828" spans="22:22" x14ac:dyDescent="0.25">
      <c r="V828" s="90"/>
    </row>
    <row r="829" spans="22:22" x14ac:dyDescent="0.25">
      <c r="V829" s="90"/>
    </row>
    <row r="830" spans="22:22" x14ac:dyDescent="0.25">
      <c r="V830" s="90"/>
    </row>
    <row r="831" spans="22:22" x14ac:dyDescent="0.25">
      <c r="V831" s="90"/>
    </row>
    <row r="832" spans="22:22" x14ac:dyDescent="0.25">
      <c r="V832" s="90"/>
    </row>
    <row r="833" spans="22:22" x14ac:dyDescent="0.25">
      <c r="V833" s="90"/>
    </row>
    <row r="834" spans="22:22" x14ac:dyDescent="0.25">
      <c r="V834" s="90"/>
    </row>
    <row r="835" spans="22:22" x14ac:dyDescent="0.25">
      <c r="V835" s="90"/>
    </row>
    <row r="836" spans="22:22" x14ac:dyDescent="0.25">
      <c r="V836" s="90"/>
    </row>
    <row r="837" spans="22:22" x14ac:dyDescent="0.25">
      <c r="V837" s="90"/>
    </row>
    <row r="838" spans="22:22" x14ac:dyDescent="0.25">
      <c r="V838" s="90"/>
    </row>
    <row r="839" spans="22:22" x14ac:dyDescent="0.25">
      <c r="V839" s="90"/>
    </row>
    <row r="840" spans="22:22" x14ac:dyDescent="0.25">
      <c r="V840" s="90"/>
    </row>
    <row r="841" spans="22:22" x14ac:dyDescent="0.25">
      <c r="V841" s="90"/>
    </row>
    <row r="842" spans="22:22" x14ac:dyDescent="0.25">
      <c r="V842" s="90"/>
    </row>
    <row r="843" spans="22:22" x14ac:dyDescent="0.25">
      <c r="V843" s="90"/>
    </row>
    <row r="844" spans="22:22" x14ac:dyDescent="0.25">
      <c r="V844" s="90"/>
    </row>
    <row r="845" spans="22:22" x14ac:dyDescent="0.25">
      <c r="V845" s="90"/>
    </row>
    <row r="846" spans="22:22" x14ac:dyDescent="0.25">
      <c r="V846" s="90"/>
    </row>
    <row r="847" spans="22:22" x14ac:dyDescent="0.25">
      <c r="V847" s="90"/>
    </row>
    <row r="848" spans="22:22" x14ac:dyDescent="0.25">
      <c r="V848" s="90"/>
    </row>
    <row r="849" spans="22:22" x14ac:dyDescent="0.25">
      <c r="V849" s="90"/>
    </row>
    <row r="850" spans="22:22" x14ac:dyDescent="0.25">
      <c r="V850" s="90"/>
    </row>
    <row r="851" spans="22:22" x14ac:dyDescent="0.25">
      <c r="V851" s="90"/>
    </row>
    <row r="852" spans="22:22" x14ac:dyDescent="0.25">
      <c r="V852" s="90"/>
    </row>
    <row r="853" spans="22:22" x14ac:dyDescent="0.25">
      <c r="V853" s="90"/>
    </row>
    <row r="854" spans="22:22" x14ac:dyDescent="0.25">
      <c r="V854" s="90"/>
    </row>
    <row r="855" spans="22:22" x14ac:dyDescent="0.25">
      <c r="V855" s="90"/>
    </row>
    <row r="856" spans="22:22" x14ac:dyDescent="0.25">
      <c r="V856" s="90"/>
    </row>
    <row r="857" spans="22:22" x14ac:dyDescent="0.25">
      <c r="V857" s="90"/>
    </row>
    <row r="858" spans="22:22" x14ac:dyDescent="0.25">
      <c r="V858" s="90"/>
    </row>
    <row r="859" spans="22:22" x14ac:dyDescent="0.25">
      <c r="V859" s="90"/>
    </row>
    <row r="860" spans="22:22" x14ac:dyDescent="0.25">
      <c r="V860" s="90"/>
    </row>
    <row r="861" spans="22:22" x14ac:dyDescent="0.25">
      <c r="V861" s="90"/>
    </row>
    <row r="862" spans="22:22" x14ac:dyDescent="0.25">
      <c r="V862" s="90"/>
    </row>
    <row r="863" spans="22:22" x14ac:dyDescent="0.25">
      <c r="V863" s="90"/>
    </row>
    <row r="864" spans="22:22" x14ac:dyDescent="0.25">
      <c r="V864" s="90"/>
    </row>
    <row r="865" spans="22:22" x14ac:dyDescent="0.25">
      <c r="V865" s="90"/>
    </row>
    <row r="866" spans="22:22" x14ac:dyDescent="0.25">
      <c r="V866" s="90"/>
    </row>
    <row r="867" spans="22:22" x14ac:dyDescent="0.25">
      <c r="V867" s="90"/>
    </row>
    <row r="868" spans="22:22" x14ac:dyDescent="0.25">
      <c r="V868" s="90"/>
    </row>
    <row r="869" spans="22:22" x14ac:dyDescent="0.25">
      <c r="V869" s="90"/>
    </row>
    <row r="870" spans="22:22" x14ac:dyDescent="0.25">
      <c r="V870" s="90"/>
    </row>
    <row r="871" spans="22:22" x14ac:dyDescent="0.25">
      <c r="V871" s="90"/>
    </row>
    <row r="872" spans="22:22" x14ac:dyDescent="0.25">
      <c r="V872" s="90"/>
    </row>
    <row r="873" spans="22:22" x14ac:dyDescent="0.25">
      <c r="V873" s="90"/>
    </row>
    <row r="874" spans="22:22" x14ac:dyDescent="0.25">
      <c r="V874" s="90"/>
    </row>
    <row r="875" spans="22:22" x14ac:dyDescent="0.25">
      <c r="V875" s="90"/>
    </row>
    <row r="876" spans="22:22" x14ac:dyDescent="0.25">
      <c r="V876" s="90"/>
    </row>
    <row r="877" spans="22:22" x14ac:dyDescent="0.25">
      <c r="V877" s="90"/>
    </row>
    <row r="878" spans="22:22" x14ac:dyDescent="0.25">
      <c r="V878" s="90"/>
    </row>
    <row r="879" spans="22:22" x14ac:dyDescent="0.25">
      <c r="V879" s="90"/>
    </row>
    <row r="880" spans="22:22" x14ac:dyDescent="0.25">
      <c r="V880" s="90"/>
    </row>
    <row r="881" spans="22:22" x14ac:dyDescent="0.25">
      <c r="V881" s="90"/>
    </row>
    <row r="882" spans="22:22" x14ac:dyDescent="0.25">
      <c r="V882" s="90"/>
    </row>
    <row r="883" spans="22:22" x14ac:dyDescent="0.25">
      <c r="V883" s="90"/>
    </row>
    <row r="884" spans="22:22" x14ac:dyDescent="0.25">
      <c r="V884" s="90"/>
    </row>
    <row r="885" spans="22:22" x14ac:dyDescent="0.25">
      <c r="V885" s="90"/>
    </row>
    <row r="886" spans="22:22" x14ac:dyDescent="0.25">
      <c r="V886" s="90"/>
    </row>
    <row r="887" spans="22:22" x14ac:dyDescent="0.25">
      <c r="V887" s="90"/>
    </row>
    <row r="888" spans="22:22" x14ac:dyDescent="0.25">
      <c r="V888" s="90"/>
    </row>
    <row r="889" spans="22:22" x14ac:dyDescent="0.25">
      <c r="V889" s="90"/>
    </row>
    <row r="890" spans="22:22" x14ac:dyDescent="0.25">
      <c r="V890" s="90"/>
    </row>
    <row r="891" spans="22:22" x14ac:dyDescent="0.25">
      <c r="V891" s="90"/>
    </row>
    <row r="892" spans="22:22" x14ac:dyDescent="0.25">
      <c r="V892" s="90"/>
    </row>
    <row r="893" spans="22:22" x14ac:dyDescent="0.25">
      <c r="V893" s="90"/>
    </row>
    <row r="894" spans="22:22" x14ac:dyDescent="0.25">
      <c r="V894" s="90"/>
    </row>
    <row r="895" spans="22:22" x14ac:dyDescent="0.25">
      <c r="V895" s="90"/>
    </row>
    <row r="896" spans="22:22" x14ac:dyDescent="0.25">
      <c r="V896" s="90"/>
    </row>
    <row r="897" spans="22:22" x14ac:dyDescent="0.25">
      <c r="V897" s="90"/>
    </row>
    <row r="898" spans="22:22" x14ac:dyDescent="0.25">
      <c r="V898" s="90"/>
    </row>
    <row r="899" spans="22:22" x14ac:dyDescent="0.25">
      <c r="V899" s="90"/>
    </row>
    <row r="900" spans="22:22" x14ac:dyDescent="0.25">
      <c r="V900" s="90"/>
    </row>
    <row r="901" spans="22:22" x14ac:dyDescent="0.25">
      <c r="V901" s="90"/>
    </row>
    <row r="902" spans="22:22" x14ac:dyDescent="0.25">
      <c r="V902" s="90"/>
    </row>
    <row r="903" spans="22:22" x14ac:dyDescent="0.25">
      <c r="V903" s="90"/>
    </row>
    <row r="904" spans="22:22" x14ac:dyDescent="0.25">
      <c r="V904" s="90"/>
    </row>
    <row r="905" spans="22:22" x14ac:dyDescent="0.25">
      <c r="V905" s="90"/>
    </row>
    <row r="906" spans="22:22" x14ac:dyDescent="0.25">
      <c r="V906" s="90"/>
    </row>
    <row r="907" spans="22:22" x14ac:dyDescent="0.25">
      <c r="V907" s="90"/>
    </row>
    <row r="908" spans="22:22" x14ac:dyDescent="0.25">
      <c r="V908" s="90"/>
    </row>
    <row r="909" spans="22:22" x14ac:dyDescent="0.25">
      <c r="V909" s="90"/>
    </row>
    <row r="910" spans="22:22" x14ac:dyDescent="0.25">
      <c r="V910" s="90"/>
    </row>
    <row r="911" spans="22:22" x14ac:dyDescent="0.25">
      <c r="V911" s="90"/>
    </row>
    <row r="912" spans="22:22" x14ac:dyDescent="0.25">
      <c r="V912" s="90"/>
    </row>
    <row r="913" spans="22:22" x14ac:dyDescent="0.25">
      <c r="V913" s="90"/>
    </row>
    <row r="914" spans="22:22" x14ac:dyDescent="0.25">
      <c r="V914" s="90"/>
    </row>
    <row r="915" spans="22:22" x14ac:dyDescent="0.25">
      <c r="V915" s="90"/>
    </row>
    <row r="916" spans="22:22" x14ac:dyDescent="0.25">
      <c r="V916" s="90"/>
    </row>
    <row r="917" spans="22:22" x14ac:dyDescent="0.25">
      <c r="V917" s="90"/>
    </row>
    <row r="918" spans="22:22" x14ac:dyDescent="0.25">
      <c r="V918" s="90"/>
    </row>
    <row r="919" spans="22:22" x14ac:dyDescent="0.25">
      <c r="V919" s="90"/>
    </row>
    <row r="920" spans="22:22" x14ac:dyDescent="0.25">
      <c r="V920" s="90"/>
    </row>
    <row r="921" spans="22:22" x14ac:dyDescent="0.25">
      <c r="V921" s="90"/>
    </row>
    <row r="922" spans="22:22" x14ac:dyDescent="0.25">
      <c r="V922" s="90"/>
    </row>
    <row r="923" spans="22:22" x14ac:dyDescent="0.25">
      <c r="V923" s="90"/>
    </row>
    <row r="924" spans="22:22" x14ac:dyDescent="0.25">
      <c r="V924" s="90"/>
    </row>
    <row r="925" spans="22:22" x14ac:dyDescent="0.25">
      <c r="V925" s="90"/>
    </row>
    <row r="926" spans="22:22" x14ac:dyDescent="0.25">
      <c r="V926" s="90"/>
    </row>
    <row r="927" spans="22:22" x14ac:dyDescent="0.25">
      <c r="V927" s="90"/>
    </row>
    <row r="928" spans="22:22" x14ac:dyDescent="0.25">
      <c r="V928" s="90"/>
    </row>
    <row r="929" spans="22:22" x14ac:dyDescent="0.25">
      <c r="V929" s="90"/>
    </row>
    <row r="930" spans="22:22" x14ac:dyDescent="0.25">
      <c r="V930" s="90"/>
    </row>
    <row r="931" spans="22:22" x14ac:dyDescent="0.25">
      <c r="V931" s="90"/>
    </row>
    <row r="932" spans="22:22" x14ac:dyDescent="0.25">
      <c r="V932" s="90"/>
    </row>
    <row r="933" spans="22:22" x14ac:dyDescent="0.25">
      <c r="V933" s="90"/>
    </row>
    <row r="934" spans="22:22" x14ac:dyDescent="0.25">
      <c r="V934" s="90"/>
    </row>
    <row r="935" spans="22:22" x14ac:dyDescent="0.25">
      <c r="V935" s="90"/>
    </row>
    <row r="936" spans="22:22" x14ac:dyDescent="0.25">
      <c r="V936" s="90"/>
    </row>
    <row r="937" spans="22:22" x14ac:dyDescent="0.25">
      <c r="V937" s="90"/>
    </row>
    <row r="938" spans="22:22" x14ac:dyDescent="0.25">
      <c r="V938" s="90"/>
    </row>
    <row r="939" spans="22:22" x14ac:dyDescent="0.25">
      <c r="V939" s="90"/>
    </row>
    <row r="940" spans="22:22" x14ac:dyDescent="0.25">
      <c r="V940" s="90"/>
    </row>
    <row r="941" spans="22:22" x14ac:dyDescent="0.25">
      <c r="V941" s="90"/>
    </row>
    <row r="942" spans="22:22" x14ac:dyDescent="0.25">
      <c r="V942" s="90"/>
    </row>
    <row r="943" spans="22:22" x14ac:dyDescent="0.25">
      <c r="V943" s="90"/>
    </row>
    <row r="944" spans="22:22" x14ac:dyDescent="0.25">
      <c r="V944" s="90"/>
    </row>
    <row r="945" spans="22:22" x14ac:dyDescent="0.25">
      <c r="V945" s="90"/>
    </row>
    <row r="946" spans="22:22" x14ac:dyDescent="0.25">
      <c r="V946" s="90"/>
    </row>
    <row r="947" spans="22:22" x14ac:dyDescent="0.25">
      <c r="V947" s="90"/>
    </row>
    <row r="948" spans="22:22" x14ac:dyDescent="0.25">
      <c r="V948" s="90"/>
    </row>
    <row r="949" spans="22:22" x14ac:dyDescent="0.25">
      <c r="V949" s="90"/>
    </row>
    <row r="950" spans="22:22" x14ac:dyDescent="0.25">
      <c r="V950" s="90"/>
    </row>
    <row r="951" spans="22:22" x14ac:dyDescent="0.25">
      <c r="V951" s="90"/>
    </row>
    <row r="952" spans="22:22" x14ac:dyDescent="0.25">
      <c r="V952" s="90"/>
    </row>
    <row r="953" spans="22:22" x14ac:dyDescent="0.25">
      <c r="V953" s="90"/>
    </row>
    <row r="954" spans="22:22" x14ac:dyDescent="0.25">
      <c r="V954" s="90"/>
    </row>
    <row r="955" spans="22:22" x14ac:dyDescent="0.25">
      <c r="V955" s="90"/>
    </row>
    <row r="956" spans="22:22" x14ac:dyDescent="0.25">
      <c r="V956" s="90"/>
    </row>
    <row r="957" spans="22:22" x14ac:dyDescent="0.25">
      <c r="V957" s="90"/>
    </row>
    <row r="958" spans="22:22" x14ac:dyDescent="0.25">
      <c r="V958" s="90"/>
    </row>
    <row r="959" spans="22:22" x14ac:dyDescent="0.25">
      <c r="V959" s="90"/>
    </row>
    <row r="960" spans="22:22" x14ac:dyDescent="0.25">
      <c r="V960" s="90"/>
    </row>
    <row r="961" spans="22:22" x14ac:dyDescent="0.25">
      <c r="V961" s="90"/>
    </row>
    <row r="962" spans="22:22" x14ac:dyDescent="0.25">
      <c r="V962" s="90"/>
    </row>
    <row r="963" spans="22:22" x14ac:dyDescent="0.25">
      <c r="V963" s="90"/>
    </row>
    <row r="964" spans="22:22" x14ac:dyDescent="0.25">
      <c r="V964" s="90"/>
    </row>
    <row r="965" spans="22:22" x14ac:dyDescent="0.25">
      <c r="V965" s="90"/>
    </row>
    <row r="966" spans="22:22" x14ac:dyDescent="0.25">
      <c r="V966" s="90"/>
    </row>
    <row r="967" spans="22:22" x14ac:dyDescent="0.25">
      <c r="V967" s="90"/>
    </row>
    <row r="968" spans="22:22" x14ac:dyDescent="0.25">
      <c r="V968" s="90"/>
    </row>
    <row r="969" spans="22:22" x14ac:dyDescent="0.25">
      <c r="V969" s="90"/>
    </row>
    <row r="970" spans="22:22" x14ac:dyDescent="0.25">
      <c r="V970" s="90"/>
    </row>
    <row r="971" spans="22:22" x14ac:dyDescent="0.25">
      <c r="V971" s="90"/>
    </row>
    <row r="972" spans="22:22" x14ac:dyDescent="0.25">
      <c r="V972" s="90"/>
    </row>
    <row r="973" spans="22:22" x14ac:dyDescent="0.25">
      <c r="V973" s="90"/>
    </row>
    <row r="974" spans="22:22" x14ac:dyDescent="0.25">
      <c r="V974" s="90"/>
    </row>
    <row r="975" spans="22:22" x14ac:dyDescent="0.25">
      <c r="V975" s="90"/>
    </row>
    <row r="976" spans="22:22" x14ac:dyDescent="0.25">
      <c r="V976" s="90"/>
    </row>
    <row r="977" spans="22:22" x14ac:dyDescent="0.25">
      <c r="V977" s="90"/>
    </row>
    <row r="978" spans="22:22" x14ac:dyDescent="0.25">
      <c r="V978" s="90"/>
    </row>
    <row r="979" spans="22:22" x14ac:dyDescent="0.25">
      <c r="V979" s="90"/>
    </row>
    <row r="980" spans="22:22" x14ac:dyDescent="0.25">
      <c r="V980" s="90"/>
    </row>
    <row r="981" spans="22:22" x14ac:dyDescent="0.25">
      <c r="V981" s="90"/>
    </row>
    <row r="982" spans="22:22" x14ac:dyDescent="0.25">
      <c r="V982" s="90"/>
    </row>
    <row r="983" spans="22:22" x14ac:dyDescent="0.25">
      <c r="V983" s="90"/>
    </row>
    <row r="984" spans="22:22" x14ac:dyDescent="0.25">
      <c r="V984" s="90"/>
    </row>
    <row r="985" spans="22:22" x14ac:dyDescent="0.25">
      <c r="V985" s="90"/>
    </row>
    <row r="986" spans="22:22" x14ac:dyDescent="0.25">
      <c r="V986" s="90"/>
    </row>
    <row r="987" spans="22:22" x14ac:dyDescent="0.25">
      <c r="V987" s="90"/>
    </row>
    <row r="988" spans="22:22" x14ac:dyDescent="0.25">
      <c r="V988" s="90"/>
    </row>
    <row r="989" spans="22:22" x14ac:dyDescent="0.25">
      <c r="V989" s="90"/>
    </row>
    <row r="990" spans="22:22" x14ac:dyDescent="0.25">
      <c r="V990" s="90"/>
    </row>
    <row r="991" spans="22:22" x14ac:dyDescent="0.25">
      <c r="V991" s="90"/>
    </row>
    <row r="992" spans="22:22" x14ac:dyDescent="0.25">
      <c r="V992" s="90"/>
    </row>
    <row r="993" spans="22:22" x14ac:dyDescent="0.25">
      <c r="V993" s="90"/>
    </row>
    <row r="994" spans="22:22" x14ac:dyDescent="0.25">
      <c r="V994" s="90"/>
    </row>
    <row r="995" spans="22:22" x14ac:dyDescent="0.25">
      <c r="V995" s="90"/>
    </row>
    <row r="996" spans="22:22" x14ac:dyDescent="0.25">
      <c r="V996" s="90"/>
    </row>
    <row r="997" spans="22:22" x14ac:dyDescent="0.25">
      <c r="V997" s="90"/>
    </row>
    <row r="998" spans="22:22" x14ac:dyDescent="0.25">
      <c r="V998" s="90"/>
    </row>
    <row r="999" spans="22:22" x14ac:dyDescent="0.25">
      <c r="V999" s="90"/>
    </row>
    <row r="1000" spans="22:22" x14ac:dyDescent="0.25">
      <c r="V1000" s="90"/>
    </row>
    <row r="1001" spans="22:22" x14ac:dyDescent="0.25">
      <c r="V1001" s="90"/>
    </row>
    <row r="1002" spans="22:22" x14ac:dyDescent="0.25">
      <c r="V1002" s="90"/>
    </row>
    <row r="1003" spans="22:22" x14ac:dyDescent="0.25">
      <c r="V1003" s="90"/>
    </row>
    <row r="1004" spans="22:22" x14ac:dyDescent="0.25">
      <c r="V1004" s="90"/>
    </row>
    <row r="1005" spans="22:22" x14ac:dyDescent="0.25">
      <c r="V1005" s="90"/>
    </row>
    <row r="1006" spans="22:22" x14ac:dyDescent="0.25">
      <c r="V1006" s="90"/>
    </row>
    <row r="1007" spans="22:22" x14ac:dyDescent="0.25">
      <c r="V1007" s="90"/>
    </row>
    <row r="1008" spans="22:22" x14ac:dyDescent="0.25">
      <c r="V1008" s="90"/>
    </row>
    <row r="1009" spans="22:22" x14ac:dyDescent="0.25">
      <c r="V1009" s="90"/>
    </row>
    <row r="1010" spans="22:22" x14ac:dyDescent="0.25">
      <c r="V1010" s="90"/>
    </row>
    <row r="1011" spans="22:22" x14ac:dyDescent="0.25">
      <c r="V1011" s="90"/>
    </row>
    <row r="1012" spans="22:22" x14ac:dyDescent="0.25">
      <c r="V1012" s="90"/>
    </row>
    <row r="1013" spans="22:22" x14ac:dyDescent="0.25">
      <c r="V1013" s="90"/>
    </row>
    <row r="1014" spans="22:22" x14ac:dyDescent="0.25">
      <c r="V1014" s="90"/>
    </row>
    <row r="1015" spans="22:22" x14ac:dyDescent="0.25">
      <c r="V1015" s="90"/>
    </row>
    <row r="1016" spans="22:22" x14ac:dyDescent="0.25">
      <c r="V1016" s="90"/>
    </row>
    <row r="1017" spans="22:22" x14ac:dyDescent="0.25">
      <c r="V1017" s="90"/>
    </row>
    <row r="1018" spans="22:22" x14ac:dyDescent="0.25">
      <c r="V1018" s="90"/>
    </row>
    <row r="1019" spans="22:22" x14ac:dyDescent="0.25">
      <c r="V1019" s="90"/>
    </row>
    <row r="1020" spans="22:22" x14ac:dyDescent="0.25">
      <c r="V1020" s="90"/>
    </row>
    <row r="1021" spans="22:22" x14ac:dyDescent="0.25">
      <c r="V1021" s="90"/>
    </row>
    <row r="1022" spans="22:22" x14ac:dyDescent="0.25">
      <c r="V1022" s="90"/>
    </row>
    <row r="1023" spans="22:22" x14ac:dyDescent="0.25">
      <c r="V1023" s="90"/>
    </row>
    <row r="1024" spans="22:22" x14ac:dyDescent="0.25">
      <c r="V1024" s="90"/>
    </row>
    <row r="1025" spans="22:22" x14ac:dyDescent="0.25">
      <c r="V1025" s="90"/>
    </row>
    <row r="1026" spans="22:22" x14ac:dyDescent="0.25">
      <c r="V1026" s="90"/>
    </row>
    <row r="1027" spans="22:22" x14ac:dyDescent="0.25">
      <c r="V1027" s="90"/>
    </row>
    <row r="1028" spans="22:22" x14ac:dyDescent="0.25">
      <c r="V1028" s="90"/>
    </row>
    <row r="1029" spans="22:22" x14ac:dyDescent="0.25">
      <c r="V1029" s="90"/>
    </row>
    <row r="1030" spans="22:22" x14ac:dyDescent="0.25">
      <c r="V1030" s="90"/>
    </row>
    <row r="1031" spans="22:22" x14ac:dyDescent="0.25">
      <c r="V1031" s="90"/>
    </row>
    <row r="1032" spans="22:22" x14ac:dyDescent="0.25">
      <c r="V1032" s="90"/>
    </row>
    <row r="1033" spans="22:22" x14ac:dyDescent="0.25">
      <c r="V1033" s="90"/>
    </row>
    <row r="1034" spans="22:22" x14ac:dyDescent="0.25">
      <c r="V1034" s="90"/>
    </row>
    <row r="1035" spans="22:22" x14ac:dyDescent="0.25">
      <c r="V1035" s="90"/>
    </row>
    <row r="1036" spans="22:22" x14ac:dyDescent="0.25">
      <c r="V1036" s="90"/>
    </row>
    <row r="1037" spans="22:22" x14ac:dyDescent="0.25">
      <c r="V1037" s="90"/>
    </row>
    <row r="1038" spans="22:22" x14ac:dyDescent="0.25">
      <c r="V1038" s="90"/>
    </row>
    <row r="1039" spans="22:22" x14ac:dyDescent="0.25">
      <c r="V1039" s="90"/>
    </row>
    <row r="1040" spans="22:22" x14ac:dyDescent="0.25">
      <c r="V1040" s="90"/>
    </row>
    <row r="1041" spans="22:22" x14ac:dyDescent="0.25">
      <c r="V1041" s="90"/>
    </row>
    <row r="1042" spans="22:22" x14ac:dyDescent="0.25">
      <c r="V1042" s="90"/>
    </row>
    <row r="1043" spans="22:22" x14ac:dyDescent="0.25">
      <c r="V1043" s="90"/>
    </row>
    <row r="1044" spans="22:22" x14ac:dyDescent="0.25">
      <c r="V1044" s="90"/>
    </row>
    <row r="1045" spans="22:22" x14ac:dyDescent="0.25">
      <c r="V1045" s="90"/>
    </row>
    <row r="1046" spans="22:22" x14ac:dyDescent="0.25">
      <c r="V1046" s="90"/>
    </row>
    <row r="1047" spans="22:22" x14ac:dyDescent="0.25">
      <c r="V1047" s="90"/>
    </row>
    <row r="1048" spans="22:22" x14ac:dyDescent="0.25">
      <c r="V1048" s="90"/>
    </row>
    <row r="1049" spans="22:22" x14ac:dyDescent="0.25">
      <c r="V1049" s="90"/>
    </row>
    <row r="1050" spans="22:22" x14ac:dyDescent="0.25">
      <c r="V1050" s="90"/>
    </row>
    <row r="1051" spans="22:22" x14ac:dyDescent="0.25">
      <c r="V1051" s="90"/>
    </row>
    <row r="1052" spans="22:22" x14ac:dyDescent="0.25">
      <c r="V1052" s="90"/>
    </row>
    <row r="1053" spans="22:22" x14ac:dyDescent="0.25">
      <c r="V1053" s="90"/>
    </row>
    <row r="1054" spans="22:22" x14ac:dyDescent="0.25">
      <c r="V1054" s="90"/>
    </row>
    <row r="1055" spans="22:22" x14ac:dyDescent="0.25">
      <c r="V1055" s="90"/>
    </row>
    <row r="1056" spans="22:22" x14ac:dyDescent="0.25">
      <c r="V1056" s="90"/>
    </row>
    <row r="1057" spans="22:22" x14ac:dyDescent="0.25">
      <c r="V1057" s="90"/>
    </row>
    <row r="1058" spans="22:22" x14ac:dyDescent="0.25">
      <c r="V1058" s="90"/>
    </row>
    <row r="1059" spans="22:22" x14ac:dyDescent="0.25">
      <c r="V1059" s="90"/>
    </row>
    <row r="1060" spans="22:22" x14ac:dyDescent="0.25">
      <c r="V1060" s="90"/>
    </row>
    <row r="1061" spans="22:22" x14ac:dyDescent="0.25">
      <c r="V1061" s="90"/>
    </row>
    <row r="1062" spans="22:22" x14ac:dyDescent="0.25">
      <c r="V1062" s="90"/>
    </row>
    <row r="1063" spans="22:22" x14ac:dyDescent="0.25">
      <c r="V1063" s="90"/>
    </row>
    <row r="1064" spans="22:22" x14ac:dyDescent="0.25">
      <c r="V1064" s="90"/>
    </row>
    <row r="1065" spans="22:22" x14ac:dyDescent="0.25">
      <c r="V1065" s="90"/>
    </row>
    <row r="1066" spans="22:22" x14ac:dyDescent="0.25">
      <c r="V1066" s="90"/>
    </row>
    <row r="1067" spans="22:22" x14ac:dyDescent="0.25">
      <c r="V1067" s="90"/>
    </row>
    <row r="1068" spans="22:22" x14ac:dyDescent="0.25">
      <c r="V1068" s="90"/>
    </row>
    <row r="1069" spans="22:22" x14ac:dyDescent="0.25">
      <c r="V1069" s="90"/>
    </row>
    <row r="1070" spans="22:22" x14ac:dyDescent="0.25">
      <c r="V1070" s="90"/>
    </row>
    <row r="1071" spans="22:22" x14ac:dyDescent="0.25">
      <c r="V1071" s="90"/>
    </row>
    <row r="1072" spans="22:22" x14ac:dyDescent="0.25">
      <c r="V1072" s="90"/>
    </row>
    <row r="1073" spans="22:22" x14ac:dyDescent="0.25">
      <c r="V1073" s="90"/>
    </row>
    <row r="1074" spans="22:22" x14ac:dyDescent="0.25">
      <c r="V1074" s="90"/>
    </row>
    <row r="1075" spans="22:22" x14ac:dyDescent="0.25">
      <c r="V1075" s="90"/>
    </row>
    <row r="1076" spans="22:22" x14ac:dyDescent="0.25">
      <c r="V1076" s="90"/>
    </row>
    <row r="1077" spans="22:22" x14ac:dyDescent="0.25">
      <c r="V1077" s="90"/>
    </row>
    <row r="1078" spans="22:22" x14ac:dyDescent="0.25">
      <c r="V1078" s="90"/>
    </row>
    <row r="1079" spans="22:22" x14ac:dyDescent="0.25">
      <c r="V1079" s="90"/>
    </row>
    <row r="1080" spans="22:22" x14ac:dyDescent="0.25">
      <c r="V1080" s="90"/>
    </row>
    <row r="1081" spans="22:22" x14ac:dyDescent="0.25">
      <c r="V1081" s="90"/>
    </row>
    <row r="1082" spans="22:22" x14ac:dyDescent="0.25">
      <c r="V1082" s="90"/>
    </row>
    <row r="1083" spans="22:22" x14ac:dyDescent="0.25">
      <c r="V1083" s="90"/>
    </row>
    <row r="1084" spans="22:22" x14ac:dyDescent="0.25">
      <c r="V1084" s="90"/>
    </row>
    <row r="1085" spans="22:22" x14ac:dyDescent="0.25">
      <c r="V1085" s="90"/>
    </row>
    <row r="1086" spans="22:22" x14ac:dyDescent="0.25">
      <c r="V1086" s="90"/>
    </row>
    <row r="1087" spans="22:22" x14ac:dyDescent="0.25">
      <c r="V1087" s="90"/>
    </row>
    <row r="1088" spans="22:22" x14ac:dyDescent="0.25">
      <c r="V1088" s="90"/>
    </row>
    <row r="1089" spans="22:22" x14ac:dyDescent="0.25">
      <c r="V1089" s="90"/>
    </row>
    <row r="1090" spans="22:22" x14ac:dyDescent="0.25">
      <c r="V1090" s="90"/>
    </row>
    <row r="1091" spans="22:22" x14ac:dyDescent="0.25">
      <c r="V1091" s="90"/>
    </row>
    <row r="1092" spans="22:22" x14ac:dyDescent="0.25">
      <c r="V1092" s="90"/>
    </row>
    <row r="1093" spans="22:22" x14ac:dyDescent="0.25">
      <c r="V1093" s="90"/>
    </row>
    <row r="1094" spans="22:22" x14ac:dyDescent="0.25">
      <c r="V1094" s="90"/>
    </row>
    <row r="1095" spans="22:22" x14ac:dyDescent="0.25">
      <c r="V1095" s="90"/>
    </row>
    <row r="1096" spans="22:22" x14ac:dyDescent="0.25">
      <c r="V1096" s="90"/>
    </row>
    <row r="1097" spans="22:22" x14ac:dyDescent="0.25">
      <c r="V1097" s="90"/>
    </row>
    <row r="1098" spans="22:22" x14ac:dyDescent="0.25">
      <c r="V1098" s="90"/>
    </row>
    <row r="1099" spans="22:22" x14ac:dyDescent="0.25">
      <c r="V1099" s="90"/>
    </row>
    <row r="1100" spans="22:22" x14ac:dyDescent="0.25">
      <c r="V1100" s="90"/>
    </row>
    <row r="1101" spans="22:22" x14ac:dyDescent="0.25">
      <c r="V1101" s="90"/>
    </row>
    <row r="1102" spans="22:22" x14ac:dyDescent="0.25">
      <c r="V1102" s="90"/>
    </row>
    <row r="1103" spans="22:22" x14ac:dyDescent="0.25">
      <c r="V1103" s="90"/>
    </row>
    <row r="1104" spans="22:22" x14ac:dyDescent="0.25">
      <c r="V1104" s="90"/>
    </row>
    <row r="1105" spans="22:22" x14ac:dyDescent="0.25">
      <c r="V1105" s="90"/>
    </row>
    <row r="1106" spans="22:22" x14ac:dyDescent="0.25">
      <c r="V1106" s="90"/>
    </row>
    <row r="1107" spans="22:22" x14ac:dyDescent="0.25">
      <c r="V1107" s="90"/>
    </row>
    <row r="1108" spans="22:22" x14ac:dyDescent="0.25">
      <c r="V1108" s="90"/>
    </row>
    <row r="1109" spans="22:22" x14ac:dyDescent="0.25">
      <c r="V1109" s="90"/>
    </row>
    <row r="1110" spans="22:22" x14ac:dyDescent="0.25">
      <c r="V1110" s="90"/>
    </row>
    <row r="1111" spans="22:22" x14ac:dyDescent="0.25">
      <c r="V1111" s="90"/>
    </row>
    <row r="1112" spans="22:22" x14ac:dyDescent="0.25">
      <c r="V1112" s="90"/>
    </row>
    <row r="1113" spans="22:22" x14ac:dyDescent="0.25">
      <c r="V1113" s="90"/>
    </row>
    <row r="1114" spans="22:22" x14ac:dyDescent="0.25">
      <c r="V1114" s="90"/>
    </row>
    <row r="1115" spans="22:22" x14ac:dyDescent="0.25">
      <c r="V1115" s="90"/>
    </row>
    <row r="1116" spans="22:22" x14ac:dyDescent="0.25">
      <c r="V1116" s="90"/>
    </row>
    <row r="1117" spans="22:22" x14ac:dyDescent="0.25">
      <c r="V1117" s="90"/>
    </row>
    <row r="1118" spans="22:22" x14ac:dyDescent="0.25">
      <c r="V1118" s="90"/>
    </row>
    <row r="1119" spans="22:22" x14ac:dyDescent="0.25">
      <c r="V1119" s="90"/>
    </row>
    <row r="1120" spans="22:22" x14ac:dyDescent="0.25">
      <c r="V1120" s="90"/>
    </row>
    <row r="1121" spans="22:22" x14ac:dyDescent="0.25">
      <c r="V1121" s="90"/>
    </row>
    <row r="1122" spans="22:22" x14ac:dyDescent="0.25">
      <c r="V1122" s="90"/>
    </row>
    <row r="1123" spans="22:22" x14ac:dyDescent="0.25">
      <c r="V1123" s="90"/>
    </row>
    <row r="1124" spans="22:22" x14ac:dyDescent="0.25">
      <c r="V1124" s="90"/>
    </row>
    <row r="1125" spans="22:22" x14ac:dyDescent="0.25">
      <c r="V1125" s="90"/>
    </row>
    <row r="1126" spans="22:22" x14ac:dyDescent="0.25">
      <c r="V1126" s="90"/>
    </row>
    <row r="1127" spans="22:22" x14ac:dyDescent="0.25">
      <c r="V1127" s="90"/>
    </row>
    <row r="1128" spans="22:22" x14ac:dyDescent="0.25">
      <c r="V1128" s="90"/>
    </row>
    <row r="1129" spans="22:22" x14ac:dyDescent="0.25">
      <c r="V1129" s="90"/>
    </row>
    <row r="1130" spans="22:22" x14ac:dyDescent="0.25">
      <c r="V1130" s="90"/>
    </row>
    <row r="1131" spans="22:22" x14ac:dyDescent="0.25">
      <c r="V1131" s="90"/>
    </row>
    <row r="1132" spans="22:22" x14ac:dyDescent="0.25">
      <c r="V1132" s="90"/>
    </row>
    <row r="1133" spans="22:22" x14ac:dyDescent="0.25">
      <c r="V1133" s="90"/>
    </row>
    <row r="1134" spans="22:22" x14ac:dyDescent="0.25">
      <c r="V1134" s="90"/>
    </row>
    <row r="1135" spans="22:22" x14ac:dyDescent="0.25">
      <c r="V1135" s="90"/>
    </row>
    <row r="1136" spans="22:22" x14ac:dyDescent="0.25">
      <c r="V1136" s="90"/>
    </row>
    <row r="1137" spans="22:22" x14ac:dyDescent="0.25">
      <c r="V1137" s="90"/>
    </row>
    <row r="1138" spans="22:22" x14ac:dyDescent="0.25">
      <c r="V1138" s="90"/>
    </row>
    <row r="1139" spans="22:22" x14ac:dyDescent="0.25">
      <c r="V1139" s="90"/>
    </row>
    <row r="1140" spans="22:22" x14ac:dyDescent="0.25">
      <c r="V1140" s="90"/>
    </row>
    <row r="1141" spans="22:22" x14ac:dyDescent="0.25">
      <c r="V1141" s="90"/>
    </row>
    <row r="1142" spans="22:22" x14ac:dyDescent="0.25">
      <c r="V1142" s="90"/>
    </row>
    <row r="1143" spans="22:22" x14ac:dyDescent="0.25">
      <c r="V1143" s="90"/>
    </row>
    <row r="1144" spans="22:22" x14ac:dyDescent="0.25">
      <c r="V1144" s="90"/>
    </row>
    <row r="1145" spans="22:22" x14ac:dyDescent="0.25">
      <c r="V1145" s="90"/>
    </row>
    <row r="1146" spans="22:22" x14ac:dyDescent="0.25">
      <c r="V1146" s="90"/>
    </row>
    <row r="1147" spans="22:22" x14ac:dyDescent="0.25">
      <c r="V1147" s="90"/>
    </row>
    <row r="1148" spans="22:22" x14ac:dyDescent="0.25">
      <c r="V1148" s="90"/>
    </row>
    <row r="1149" spans="22:22" x14ac:dyDescent="0.25">
      <c r="V1149" s="90"/>
    </row>
    <row r="1150" spans="22:22" x14ac:dyDescent="0.25">
      <c r="V1150" s="90"/>
    </row>
    <row r="1151" spans="22:22" x14ac:dyDescent="0.25">
      <c r="V1151" s="90"/>
    </row>
    <row r="1152" spans="22:22" x14ac:dyDescent="0.25">
      <c r="V1152" s="90"/>
    </row>
    <row r="1153" spans="22:22" x14ac:dyDescent="0.25">
      <c r="V1153" s="90"/>
    </row>
    <row r="1154" spans="22:22" x14ac:dyDescent="0.25">
      <c r="V1154" s="90"/>
    </row>
    <row r="1155" spans="22:22" x14ac:dyDescent="0.25">
      <c r="V1155" s="90"/>
    </row>
    <row r="1156" spans="22:22" x14ac:dyDescent="0.25">
      <c r="V1156" s="90"/>
    </row>
    <row r="1157" spans="22:22" x14ac:dyDescent="0.25">
      <c r="V1157" s="90"/>
    </row>
    <row r="1158" spans="22:22" x14ac:dyDescent="0.25">
      <c r="V1158" s="90"/>
    </row>
    <row r="1159" spans="22:22" x14ac:dyDescent="0.25">
      <c r="V1159" s="90"/>
    </row>
    <row r="1160" spans="22:22" x14ac:dyDescent="0.25">
      <c r="V1160" s="90"/>
    </row>
    <row r="1161" spans="22:22" x14ac:dyDescent="0.25">
      <c r="V1161" s="90"/>
    </row>
    <row r="1162" spans="22:22" x14ac:dyDescent="0.25">
      <c r="V1162" s="90"/>
    </row>
    <row r="1163" spans="22:22" x14ac:dyDescent="0.25">
      <c r="V1163" s="90"/>
    </row>
    <row r="1164" spans="22:22" x14ac:dyDescent="0.25">
      <c r="V1164" s="90"/>
    </row>
    <row r="1165" spans="22:22" x14ac:dyDescent="0.25">
      <c r="V1165" s="90"/>
    </row>
    <row r="1166" spans="22:22" x14ac:dyDescent="0.25">
      <c r="V1166" s="90"/>
    </row>
    <row r="1167" spans="22:22" x14ac:dyDescent="0.25">
      <c r="V1167" s="90"/>
    </row>
    <row r="1168" spans="22:22" x14ac:dyDescent="0.25">
      <c r="V1168" s="90"/>
    </row>
    <row r="1169" spans="22:22" x14ac:dyDescent="0.25">
      <c r="V1169" s="90"/>
    </row>
    <row r="1170" spans="22:22" x14ac:dyDescent="0.25">
      <c r="V1170" s="90"/>
    </row>
    <row r="1171" spans="22:22" x14ac:dyDescent="0.25">
      <c r="V1171" s="90"/>
    </row>
    <row r="1172" spans="22:22" x14ac:dyDescent="0.25">
      <c r="V1172" s="90"/>
    </row>
    <row r="1173" spans="22:22" x14ac:dyDescent="0.25">
      <c r="V1173" s="90"/>
    </row>
    <row r="1174" spans="22:22" x14ac:dyDescent="0.25">
      <c r="V1174" s="90"/>
    </row>
    <row r="1175" spans="22:22" x14ac:dyDescent="0.25">
      <c r="V1175" s="90"/>
    </row>
    <row r="1176" spans="22:22" x14ac:dyDescent="0.25">
      <c r="V1176" s="90"/>
    </row>
    <row r="1177" spans="22:22" x14ac:dyDescent="0.25">
      <c r="V1177" s="90"/>
    </row>
    <row r="1178" spans="22:22" x14ac:dyDescent="0.25">
      <c r="V1178" s="90"/>
    </row>
    <row r="1179" spans="22:22" x14ac:dyDescent="0.25">
      <c r="V1179" s="90"/>
    </row>
    <row r="1180" spans="22:22" x14ac:dyDescent="0.25">
      <c r="V1180" s="90"/>
    </row>
    <row r="1181" spans="22:22" x14ac:dyDescent="0.25">
      <c r="V1181" s="90"/>
    </row>
    <row r="1182" spans="22:22" x14ac:dyDescent="0.25">
      <c r="V1182" s="90"/>
    </row>
    <row r="1183" spans="22:22" x14ac:dyDescent="0.25">
      <c r="V1183" s="90"/>
    </row>
    <row r="1184" spans="22:22" x14ac:dyDescent="0.25">
      <c r="V1184" s="90"/>
    </row>
    <row r="1185" spans="22:22" x14ac:dyDescent="0.25">
      <c r="V1185" s="90"/>
    </row>
    <row r="1186" spans="22:22" x14ac:dyDescent="0.25">
      <c r="V1186" s="90"/>
    </row>
    <row r="1187" spans="22:22" x14ac:dyDescent="0.25">
      <c r="V1187" s="90"/>
    </row>
    <row r="1188" spans="22:22" x14ac:dyDescent="0.25">
      <c r="V1188" s="90"/>
    </row>
    <row r="1189" spans="22:22" x14ac:dyDescent="0.25">
      <c r="V1189" s="90"/>
    </row>
    <row r="1190" spans="22:22" x14ac:dyDescent="0.25">
      <c r="V1190" s="90"/>
    </row>
    <row r="1191" spans="22:22" x14ac:dyDescent="0.25">
      <c r="V1191" s="90"/>
    </row>
    <row r="1192" spans="22:22" x14ac:dyDescent="0.25">
      <c r="V1192" s="90"/>
    </row>
    <row r="1193" spans="22:22" x14ac:dyDescent="0.25">
      <c r="V1193" s="90"/>
    </row>
    <row r="1194" spans="22:22" x14ac:dyDescent="0.25">
      <c r="V1194" s="90"/>
    </row>
    <row r="1195" spans="22:22" x14ac:dyDescent="0.25">
      <c r="V1195" s="90"/>
    </row>
    <row r="1196" spans="22:22" x14ac:dyDescent="0.25">
      <c r="V1196" s="90"/>
    </row>
    <row r="1197" spans="22:22" x14ac:dyDescent="0.25">
      <c r="V1197" s="90"/>
    </row>
    <row r="1198" spans="22:22" x14ac:dyDescent="0.25">
      <c r="V1198" s="90"/>
    </row>
    <row r="1199" spans="22:22" x14ac:dyDescent="0.25">
      <c r="V1199" s="90"/>
    </row>
    <row r="1200" spans="22:22" x14ac:dyDescent="0.25">
      <c r="V1200" s="90"/>
    </row>
    <row r="1201" spans="22:22" x14ac:dyDescent="0.25">
      <c r="V1201" s="90"/>
    </row>
    <row r="1202" spans="22:22" x14ac:dyDescent="0.25">
      <c r="V1202" s="90"/>
    </row>
    <row r="1203" spans="22:22" x14ac:dyDescent="0.25">
      <c r="V1203" s="90"/>
    </row>
    <row r="1204" spans="22:22" x14ac:dyDescent="0.25">
      <c r="V1204" s="90"/>
    </row>
    <row r="1205" spans="22:22" x14ac:dyDescent="0.25">
      <c r="V1205" s="90"/>
    </row>
    <row r="1206" spans="22:22" x14ac:dyDescent="0.25">
      <c r="V1206" s="90"/>
    </row>
    <row r="1207" spans="22:22" x14ac:dyDescent="0.25">
      <c r="V1207" s="90"/>
    </row>
    <row r="1208" spans="22:22" x14ac:dyDescent="0.25">
      <c r="V1208" s="90"/>
    </row>
    <row r="1209" spans="22:22" x14ac:dyDescent="0.25">
      <c r="V1209" s="90"/>
    </row>
    <row r="1210" spans="22:22" x14ac:dyDescent="0.25">
      <c r="V1210" s="90"/>
    </row>
    <row r="1211" spans="22:22" x14ac:dyDescent="0.25">
      <c r="V1211" s="90"/>
    </row>
    <row r="1212" spans="22:22" x14ac:dyDescent="0.25">
      <c r="V1212" s="90"/>
    </row>
    <row r="1213" spans="22:22" x14ac:dyDescent="0.25">
      <c r="V1213" s="90"/>
    </row>
    <row r="1214" spans="22:22" x14ac:dyDescent="0.25">
      <c r="V1214" s="90"/>
    </row>
    <row r="1215" spans="22:22" x14ac:dyDescent="0.25">
      <c r="V1215" s="90"/>
    </row>
    <row r="1216" spans="22:22" x14ac:dyDescent="0.25">
      <c r="V1216" s="90"/>
    </row>
    <row r="1217" spans="22:22" x14ac:dyDescent="0.25">
      <c r="V1217" s="90"/>
    </row>
    <row r="1218" spans="22:22" x14ac:dyDescent="0.25">
      <c r="V1218" s="90"/>
    </row>
    <row r="1219" spans="22:22" x14ac:dyDescent="0.25">
      <c r="V1219" s="90"/>
    </row>
    <row r="1220" spans="22:22" x14ac:dyDescent="0.25">
      <c r="V1220" s="90"/>
    </row>
    <row r="1221" spans="22:22" x14ac:dyDescent="0.25">
      <c r="V1221" s="90"/>
    </row>
    <row r="1222" spans="22:22" x14ac:dyDescent="0.25">
      <c r="V1222" s="90"/>
    </row>
    <row r="1223" spans="22:22" x14ac:dyDescent="0.25">
      <c r="V1223" s="90"/>
    </row>
    <row r="1224" spans="22:22" x14ac:dyDescent="0.25">
      <c r="V1224" s="90"/>
    </row>
    <row r="1225" spans="22:22" x14ac:dyDescent="0.25">
      <c r="V1225" s="90"/>
    </row>
    <row r="1226" spans="22:22" x14ac:dyDescent="0.25">
      <c r="V1226" s="90"/>
    </row>
    <row r="1227" spans="22:22" x14ac:dyDescent="0.25">
      <c r="V1227" s="90"/>
    </row>
    <row r="1228" spans="22:22" x14ac:dyDescent="0.25">
      <c r="V1228" s="90"/>
    </row>
    <row r="1229" spans="22:22" x14ac:dyDescent="0.25">
      <c r="V1229" s="90"/>
    </row>
    <row r="1230" spans="22:22" x14ac:dyDescent="0.25">
      <c r="V1230" s="90"/>
    </row>
    <row r="1231" spans="22:22" x14ac:dyDescent="0.25">
      <c r="V1231" s="90"/>
    </row>
    <row r="1232" spans="22:22" x14ac:dyDescent="0.25">
      <c r="V1232" s="90"/>
    </row>
    <row r="1233" spans="22:22" x14ac:dyDescent="0.25">
      <c r="V1233" s="90"/>
    </row>
    <row r="1234" spans="22:22" x14ac:dyDescent="0.25">
      <c r="V1234" s="90"/>
    </row>
    <row r="1235" spans="22:22" x14ac:dyDescent="0.25">
      <c r="V1235" s="90"/>
    </row>
    <row r="1236" spans="22:22" x14ac:dyDescent="0.25">
      <c r="V1236" s="90"/>
    </row>
    <row r="1237" spans="22:22" x14ac:dyDescent="0.25">
      <c r="V1237" s="90"/>
    </row>
    <row r="1238" spans="22:22" x14ac:dyDescent="0.25">
      <c r="V1238" s="90"/>
    </row>
    <row r="1239" spans="22:22" x14ac:dyDescent="0.25">
      <c r="V1239" s="90"/>
    </row>
    <row r="1240" spans="22:22" x14ac:dyDescent="0.25">
      <c r="V1240" s="90"/>
    </row>
    <row r="1241" spans="22:22" x14ac:dyDescent="0.25">
      <c r="V1241" s="90"/>
    </row>
    <row r="1242" spans="22:22" x14ac:dyDescent="0.25">
      <c r="V1242" s="90"/>
    </row>
    <row r="1243" spans="22:22" x14ac:dyDescent="0.25">
      <c r="V1243" s="90"/>
    </row>
    <row r="1244" spans="22:22" x14ac:dyDescent="0.25">
      <c r="V1244" s="90"/>
    </row>
    <row r="1245" spans="22:22" x14ac:dyDescent="0.25">
      <c r="V1245" s="90"/>
    </row>
    <row r="1246" spans="22:22" x14ac:dyDescent="0.25">
      <c r="V1246" s="90"/>
    </row>
    <row r="1247" spans="22:22" x14ac:dyDescent="0.25">
      <c r="V1247" s="90"/>
    </row>
    <row r="1248" spans="22:22" x14ac:dyDescent="0.25">
      <c r="V1248" s="90"/>
    </row>
    <row r="1249" spans="22:22" x14ac:dyDescent="0.25">
      <c r="V1249" s="90"/>
    </row>
    <row r="1250" spans="22:22" x14ac:dyDescent="0.25">
      <c r="V1250" s="90"/>
    </row>
    <row r="1251" spans="22:22" x14ac:dyDescent="0.25">
      <c r="V1251" s="90"/>
    </row>
    <row r="1252" spans="22:22" x14ac:dyDescent="0.25">
      <c r="V1252" s="90"/>
    </row>
    <row r="1253" spans="22:22" x14ac:dyDescent="0.25">
      <c r="V1253" s="90"/>
    </row>
    <row r="1254" spans="22:22" x14ac:dyDescent="0.25">
      <c r="V1254" s="90"/>
    </row>
    <row r="1255" spans="22:22" x14ac:dyDescent="0.25">
      <c r="V1255" s="90"/>
    </row>
    <row r="1256" spans="22:22" x14ac:dyDescent="0.25">
      <c r="V1256" s="90"/>
    </row>
    <row r="1257" spans="22:22" x14ac:dyDescent="0.25">
      <c r="V1257" s="90"/>
    </row>
    <row r="1258" spans="22:22" x14ac:dyDescent="0.25">
      <c r="V1258" s="90"/>
    </row>
    <row r="1259" spans="22:22" x14ac:dyDescent="0.25">
      <c r="V1259" s="90"/>
    </row>
    <row r="1260" spans="22:22" x14ac:dyDescent="0.25">
      <c r="V1260" s="90"/>
    </row>
    <row r="1261" spans="22:22" x14ac:dyDescent="0.25">
      <c r="V1261" s="90"/>
    </row>
    <row r="1262" spans="22:22" x14ac:dyDescent="0.25">
      <c r="V1262" s="90"/>
    </row>
    <row r="1263" spans="22:22" x14ac:dyDescent="0.25">
      <c r="V1263" s="90"/>
    </row>
    <row r="1264" spans="22:22" x14ac:dyDescent="0.25">
      <c r="V1264" s="90"/>
    </row>
    <row r="1265" spans="22:22" x14ac:dyDescent="0.25">
      <c r="V1265" s="90"/>
    </row>
    <row r="1266" spans="22:22" x14ac:dyDescent="0.25">
      <c r="V1266" s="90"/>
    </row>
    <row r="1267" spans="22:22" x14ac:dyDescent="0.25">
      <c r="V1267" s="90"/>
    </row>
    <row r="1268" spans="22:22" x14ac:dyDescent="0.25">
      <c r="V1268" s="90"/>
    </row>
    <row r="1269" spans="22:22" x14ac:dyDescent="0.25">
      <c r="V1269" s="90"/>
    </row>
    <row r="1270" spans="22:22" x14ac:dyDescent="0.25">
      <c r="V1270" s="90"/>
    </row>
    <row r="1271" spans="22:22" x14ac:dyDescent="0.25">
      <c r="V1271" s="90"/>
    </row>
    <row r="1272" spans="22:22" x14ac:dyDescent="0.25">
      <c r="V1272" s="90"/>
    </row>
    <row r="1273" spans="22:22" x14ac:dyDescent="0.25">
      <c r="V1273" s="90"/>
    </row>
    <row r="1274" spans="22:22" x14ac:dyDescent="0.25">
      <c r="V1274" s="90"/>
    </row>
    <row r="1275" spans="22:22" x14ac:dyDescent="0.25">
      <c r="V1275" s="90"/>
    </row>
    <row r="1276" spans="22:22" x14ac:dyDescent="0.25">
      <c r="V1276" s="90"/>
    </row>
    <row r="1277" spans="22:22" x14ac:dyDescent="0.25">
      <c r="V1277" s="90"/>
    </row>
    <row r="1278" spans="22:22" x14ac:dyDescent="0.25">
      <c r="V1278" s="90"/>
    </row>
    <row r="1279" spans="22:22" x14ac:dyDescent="0.25">
      <c r="V1279" s="90"/>
    </row>
    <row r="1280" spans="22:22" x14ac:dyDescent="0.25">
      <c r="V1280" s="90"/>
    </row>
    <row r="1281" spans="22:22" x14ac:dyDescent="0.25">
      <c r="V1281" s="90"/>
    </row>
    <row r="1282" spans="22:22" x14ac:dyDescent="0.25">
      <c r="V1282" s="90"/>
    </row>
    <row r="1283" spans="22:22" x14ac:dyDescent="0.25">
      <c r="V1283" s="90"/>
    </row>
    <row r="1284" spans="22:22" x14ac:dyDescent="0.25">
      <c r="V1284" s="90"/>
    </row>
    <row r="1285" spans="22:22" x14ac:dyDescent="0.25">
      <c r="V1285" s="90"/>
    </row>
    <row r="1286" spans="22:22" x14ac:dyDescent="0.25">
      <c r="V1286" s="90"/>
    </row>
    <row r="1287" spans="22:22" x14ac:dyDescent="0.25">
      <c r="V1287" s="90"/>
    </row>
    <row r="1288" spans="22:22" x14ac:dyDescent="0.25">
      <c r="V1288" s="90"/>
    </row>
    <row r="1289" spans="22:22" x14ac:dyDescent="0.25">
      <c r="V1289" s="90"/>
    </row>
    <row r="1290" spans="22:22" x14ac:dyDescent="0.25">
      <c r="V1290" s="90"/>
    </row>
    <row r="1291" spans="22:22" x14ac:dyDescent="0.25">
      <c r="V1291" s="90"/>
    </row>
    <row r="1292" spans="22:22" x14ac:dyDescent="0.25">
      <c r="V1292" s="90"/>
    </row>
    <row r="1293" spans="22:22" x14ac:dyDescent="0.25">
      <c r="V1293" s="90"/>
    </row>
    <row r="1294" spans="22:22" x14ac:dyDescent="0.25">
      <c r="V1294" s="90"/>
    </row>
    <row r="1295" spans="22:22" x14ac:dyDescent="0.25">
      <c r="V1295" s="90"/>
    </row>
    <row r="1296" spans="22:22" x14ac:dyDescent="0.25">
      <c r="V1296" s="90"/>
    </row>
    <row r="1297" spans="22:22" x14ac:dyDescent="0.25">
      <c r="V1297" s="90"/>
    </row>
    <row r="1298" spans="22:22" x14ac:dyDescent="0.25">
      <c r="V1298" s="90"/>
    </row>
    <row r="1299" spans="22:22" x14ac:dyDescent="0.25">
      <c r="V1299" s="90"/>
    </row>
    <row r="1300" spans="22:22" x14ac:dyDescent="0.25">
      <c r="V1300" s="90"/>
    </row>
    <row r="1301" spans="22:22" x14ac:dyDescent="0.25">
      <c r="V1301" s="90"/>
    </row>
    <row r="1302" spans="22:22" x14ac:dyDescent="0.25">
      <c r="V1302" s="90"/>
    </row>
    <row r="1303" spans="22:22" x14ac:dyDescent="0.25">
      <c r="V1303" s="90"/>
    </row>
    <row r="1304" spans="22:22" x14ac:dyDescent="0.25">
      <c r="V1304" s="90"/>
    </row>
    <row r="1305" spans="22:22" x14ac:dyDescent="0.25">
      <c r="V1305" s="90"/>
    </row>
    <row r="1306" spans="22:22" x14ac:dyDescent="0.25">
      <c r="V1306" s="90"/>
    </row>
    <row r="1307" spans="22:22" x14ac:dyDescent="0.25">
      <c r="V1307" s="90"/>
    </row>
    <row r="1308" spans="22:22" x14ac:dyDescent="0.25">
      <c r="V1308" s="90"/>
    </row>
    <row r="1309" spans="22:22" x14ac:dyDescent="0.25">
      <c r="V1309" s="90"/>
    </row>
    <row r="1310" spans="22:22" x14ac:dyDescent="0.25">
      <c r="V1310" s="90"/>
    </row>
    <row r="1311" spans="22:22" x14ac:dyDescent="0.25">
      <c r="V1311" s="90"/>
    </row>
    <row r="1312" spans="22:22" x14ac:dyDescent="0.25">
      <c r="V1312" s="90"/>
    </row>
    <row r="1313" spans="22:22" x14ac:dyDescent="0.25">
      <c r="V1313" s="90"/>
    </row>
    <row r="1314" spans="22:22" x14ac:dyDescent="0.25">
      <c r="V1314" s="90"/>
    </row>
    <row r="1315" spans="22:22" x14ac:dyDescent="0.25">
      <c r="V1315" s="90"/>
    </row>
    <row r="1316" spans="22:22" x14ac:dyDescent="0.25">
      <c r="V1316" s="90"/>
    </row>
    <row r="1317" spans="22:22" x14ac:dyDescent="0.25">
      <c r="V1317" s="90"/>
    </row>
    <row r="1318" spans="22:22" x14ac:dyDescent="0.25">
      <c r="V1318" s="90"/>
    </row>
    <row r="1319" spans="22:22" x14ac:dyDescent="0.25">
      <c r="V1319" s="90"/>
    </row>
    <row r="1320" spans="22:22" x14ac:dyDescent="0.25">
      <c r="V1320" s="90"/>
    </row>
    <row r="1321" spans="22:22" x14ac:dyDescent="0.25">
      <c r="V1321" s="90"/>
    </row>
    <row r="1322" spans="22:22" x14ac:dyDescent="0.25">
      <c r="V1322" s="90"/>
    </row>
    <row r="1323" spans="22:22" x14ac:dyDescent="0.25">
      <c r="V1323" s="90"/>
    </row>
    <row r="1324" spans="22:22" x14ac:dyDescent="0.25">
      <c r="V1324" s="90"/>
    </row>
    <row r="1325" spans="22:22" x14ac:dyDescent="0.25">
      <c r="V1325" s="90"/>
    </row>
    <row r="1326" spans="22:22" x14ac:dyDescent="0.25">
      <c r="V1326" s="90"/>
    </row>
    <row r="1327" spans="22:22" x14ac:dyDescent="0.25">
      <c r="V1327" s="90"/>
    </row>
    <row r="1328" spans="22:22" x14ac:dyDescent="0.25">
      <c r="V1328" s="90"/>
    </row>
    <row r="1329" spans="22:22" x14ac:dyDescent="0.25">
      <c r="V1329" s="90"/>
    </row>
    <row r="1330" spans="22:22" x14ac:dyDescent="0.25">
      <c r="V1330" s="90"/>
    </row>
    <row r="1331" spans="22:22" x14ac:dyDescent="0.25">
      <c r="V1331" s="90"/>
    </row>
    <row r="1332" spans="22:22" x14ac:dyDescent="0.25">
      <c r="V1332" s="90"/>
    </row>
    <row r="1333" spans="22:22" x14ac:dyDescent="0.25">
      <c r="V1333" s="90"/>
    </row>
    <row r="1334" spans="22:22" x14ac:dyDescent="0.25">
      <c r="V1334" s="90"/>
    </row>
    <row r="1335" spans="22:22" x14ac:dyDescent="0.25">
      <c r="V1335" s="90"/>
    </row>
    <row r="1336" spans="22:22" x14ac:dyDescent="0.25">
      <c r="V1336" s="90"/>
    </row>
    <row r="1337" spans="22:22" x14ac:dyDescent="0.25">
      <c r="V1337" s="90"/>
    </row>
    <row r="1338" spans="22:22" x14ac:dyDescent="0.25">
      <c r="V1338" s="90"/>
    </row>
    <row r="1339" spans="22:22" x14ac:dyDescent="0.25">
      <c r="V1339" s="90"/>
    </row>
    <row r="1340" spans="22:22" x14ac:dyDescent="0.25">
      <c r="V1340" s="90"/>
    </row>
    <row r="1341" spans="22:22" x14ac:dyDescent="0.25">
      <c r="V1341" s="90"/>
    </row>
    <row r="1342" spans="22:22" x14ac:dyDescent="0.25">
      <c r="V1342" s="90"/>
    </row>
    <row r="1343" spans="22:22" x14ac:dyDescent="0.25">
      <c r="V1343" s="90"/>
    </row>
    <row r="1344" spans="22:22" x14ac:dyDescent="0.25">
      <c r="V1344" s="90"/>
    </row>
    <row r="1345" spans="22:22" x14ac:dyDescent="0.25">
      <c r="V1345" s="90"/>
    </row>
    <row r="1346" spans="22:22" x14ac:dyDescent="0.25">
      <c r="V1346" s="90"/>
    </row>
    <row r="1347" spans="22:22" x14ac:dyDescent="0.25">
      <c r="V1347" s="90"/>
    </row>
    <row r="1348" spans="22:22" x14ac:dyDescent="0.25">
      <c r="V1348" s="90"/>
    </row>
    <row r="1349" spans="22:22" x14ac:dyDescent="0.25">
      <c r="V1349" s="90"/>
    </row>
    <row r="1350" spans="22:22" x14ac:dyDescent="0.25">
      <c r="V1350" s="90"/>
    </row>
    <row r="1351" spans="22:22" x14ac:dyDescent="0.25">
      <c r="V1351" s="90"/>
    </row>
    <row r="1352" spans="22:22" x14ac:dyDescent="0.25">
      <c r="V1352" s="90"/>
    </row>
    <row r="1353" spans="22:22" x14ac:dyDescent="0.25">
      <c r="V1353" s="90"/>
    </row>
    <row r="1354" spans="22:22" x14ac:dyDescent="0.25">
      <c r="V1354" s="90"/>
    </row>
    <row r="1355" spans="22:22" x14ac:dyDescent="0.25">
      <c r="V1355" s="90"/>
    </row>
    <row r="1356" spans="22:22" x14ac:dyDescent="0.25">
      <c r="V1356" s="90"/>
    </row>
    <row r="1357" spans="22:22" x14ac:dyDescent="0.25">
      <c r="V1357" s="90"/>
    </row>
    <row r="1358" spans="22:22" x14ac:dyDescent="0.25">
      <c r="V1358" s="90"/>
    </row>
    <row r="1359" spans="22:22" x14ac:dyDescent="0.25">
      <c r="V1359" s="90"/>
    </row>
    <row r="1360" spans="22:22" x14ac:dyDescent="0.25">
      <c r="V1360" s="90"/>
    </row>
    <row r="1361" spans="22:22" x14ac:dyDescent="0.25">
      <c r="V1361" s="90"/>
    </row>
    <row r="1362" spans="22:22" x14ac:dyDescent="0.25">
      <c r="V1362" s="90"/>
    </row>
    <row r="1363" spans="22:22" x14ac:dyDescent="0.25">
      <c r="V1363" s="90"/>
    </row>
    <row r="1364" spans="22:22" x14ac:dyDescent="0.25">
      <c r="V1364" s="90"/>
    </row>
    <row r="1365" spans="22:22" x14ac:dyDescent="0.25">
      <c r="V1365" s="90"/>
    </row>
    <row r="1366" spans="22:22" x14ac:dyDescent="0.25">
      <c r="V1366" s="90"/>
    </row>
    <row r="1367" spans="22:22" x14ac:dyDescent="0.25">
      <c r="V1367" s="90"/>
    </row>
    <row r="1368" spans="22:22" x14ac:dyDescent="0.25">
      <c r="V1368" s="90"/>
    </row>
    <row r="1369" spans="22:22" x14ac:dyDescent="0.25">
      <c r="V1369" s="90"/>
    </row>
    <row r="1370" spans="22:22" x14ac:dyDescent="0.25">
      <c r="V1370" s="90"/>
    </row>
    <row r="1371" spans="22:22" x14ac:dyDescent="0.25">
      <c r="V1371" s="90"/>
    </row>
    <row r="1372" spans="22:22" x14ac:dyDescent="0.25">
      <c r="V1372" s="90"/>
    </row>
    <row r="1373" spans="22:22" x14ac:dyDescent="0.25">
      <c r="V1373" s="90"/>
    </row>
    <row r="1374" spans="22:22" x14ac:dyDescent="0.25">
      <c r="V1374" s="90"/>
    </row>
    <row r="1375" spans="22:22" x14ac:dyDescent="0.25">
      <c r="V1375" s="90"/>
    </row>
    <row r="1376" spans="22:22" x14ac:dyDescent="0.25">
      <c r="V1376" s="90"/>
    </row>
    <row r="1377" spans="22:22" x14ac:dyDescent="0.25">
      <c r="V1377" s="90"/>
    </row>
    <row r="1378" spans="22:22" x14ac:dyDescent="0.25">
      <c r="V1378" s="90"/>
    </row>
    <row r="1379" spans="22:22" x14ac:dyDescent="0.25">
      <c r="V1379" s="90"/>
    </row>
    <row r="1380" spans="22:22" x14ac:dyDescent="0.25">
      <c r="V1380" s="90"/>
    </row>
    <row r="1381" spans="22:22" x14ac:dyDescent="0.25">
      <c r="V1381" s="90"/>
    </row>
    <row r="1382" spans="22:22" x14ac:dyDescent="0.25">
      <c r="V1382" s="90"/>
    </row>
    <row r="1383" spans="22:22" x14ac:dyDescent="0.25">
      <c r="V1383" s="90"/>
    </row>
    <row r="1384" spans="22:22" x14ac:dyDescent="0.25">
      <c r="V1384" s="90"/>
    </row>
    <row r="1385" spans="22:22" x14ac:dyDescent="0.25">
      <c r="V1385" s="90"/>
    </row>
    <row r="1386" spans="22:22" x14ac:dyDescent="0.25">
      <c r="V1386" s="90"/>
    </row>
    <row r="1387" spans="22:22" x14ac:dyDescent="0.25">
      <c r="V1387" s="90"/>
    </row>
    <row r="1388" spans="22:22" x14ac:dyDescent="0.25">
      <c r="V1388" s="90"/>
    </row>
    <row r="1389" spans="22:22" x14ac:dyDescent="0.25">
      <c r="V1389" s="90"/>
    </row>
    <row r="1390" spans="22:22" x14ac:dyDescent="0.25">
      <c r="V1390" s="90"/>
    </row>
    <row r="1391" spans="22:22" x14ac:dyDescent="0.25">
      <c r="V1391" s="90"/>
    </row>
    <row r="1392" spans="22:22" x14ac:dyDescent="0.25">
      <c r="V1392" s="90"/>
    </row>
    <row r="1393" spans="22:22" x14ac:dyDescent="0.25">
      <c r="V1393" s="90"/>
    </row>
    <row r="1394" spans="22:22" x14ac:dyDescent="0.25">
      <c r="V1394" s="90"/>
    </row>
    <row r="1395" spans="22:22" x14ac:dyDescent="0.25">
      <c r="V1395" s="90"/>
    </row>
    <row r="1396" spans="22:22" x14ac:dyDescent="0.25">
      <c r="V1396" s="90"/>
    </row>
    <row r="1397" spans="22:22" x14ac:dyDescent="0.25">
      <c r="V1397" s="90"/>
    </row>
    <row r="1398" spans="22:22" x14ac:dyDescent="0.25">
      <c r="V1398" s="90"/>
    </row>
    <row r="1399" spans="22:22" x14ac:dyDescent="0.25">
      <c r="V1399" s="90"/>
    </row>
    <row r="1400" spans="22:22" x14ac:dyDescent="0.25">
      <c r="V1400" s="90"/>
    </row>
    <row r="1401" spans="22:22" x14ac:dyDescent="0.25">
      <c r="V1401" s="90"/>
    </row>
    <row r="1402" spans="22:22" x14ac:dyDescent="0.25">
      <c r="V1402" s="90"/>
    </row>
    <row r="1403" spans="22:22" x14ac:dyDescent="0.25">
      <c r="V1403" s="90"/>
    </row>
    <row r="1404" spans="22:22" x14ac:dyDescent="0.25">
      <c r="V1404" s="90"/>
    </row>
    <row r="1405" spans="22:22" x14ac:dyDescent="0.25">
      <c r="V1405" s="90"/>
    </row>
    <row r="1406" spans="22:22" x14ac:dyDescent="0.25">
      <c r="V1406" s="90"/>
    </row>
    <row r="1407" spans="22:22" x14ac:dyDescent="0.25">
      <c r="V1407" s="90"/>
    </row>
    <row r="1408" spans="22:22" x14ac:dyDescent="0.25">
      <c r="V1408" s="90"/>
    </row>
    <row r="1409" spans="22:22" x14ac:dyDescent="0.25">
      <c r="V1409" s="90"/>
    </row>
    <row r="1410" spans="22:22" x14ac:dyDescent="0.25">
      <c r="V1410" s="90"/>
    </row>
    <row r="1411" spans="22:22" x14ac:dyDescent="0.25">
      <c r="V1411" s="90"/>
    </row>
    <row r="1412" spans="22:22" x14ac:dyDescent="0.25">
      <c r="V1412" s="90"/>
    </row>
    <row r="1413" spans="22:22" x14ac:dyDescent="0.25">
      <c r="V1413" s="90"/>
    </row>
    <row r="1414" spans="22:22" x14ac:dyDescent="0.25">
      <c r="V1414" s="90"/>
    </row>
    <row r="1415" spans="22:22" x14ac:dyDescent="0.25">
      <c r="V1415" s="90"/>
    </row>
    <row r="1416" spans="22:22" x14ac:dyDescent="0.25">
      <c r="V1416" s="90"/>
    </row>
    <row r="1417" spans="22:22" x14ac:dyDescent="0.25">
      <c r="V1417" s="90"/>
    </row>
    <row r="1418" spans="22:22" x14ac:dyDescent="0.25">
      <c r="V1418" s="90"/>
    </row>
    <row r="1419" spans="22:22" x14ac:dyDescent="0.25">
      <c r="V1419" s="90"/>
    </row>
    <row r="1420" spans="22:22" x14ac:dyDescent="0.25">
      <c r="V1420" s="90"/>
    </row>
    <row r="1421" spans="22:22" x14ac:dyDescent="0.25">
      <c r="V1421" s="90"/>
    </row>
    <row r="1422" spans="22:22" x14ac:dyDescent="0.25">
      <c r="V1422" s="90"/>
    </row>
    <row r="1423" spans="22:22" x14ac:dyDescent="0.25">
      <c r="V1423" s="90"/>
    </row>
    <row r="1424" spans="22:22" x14ac:dyDescent="0.25">
      <c r="V1424" s="90"/>
    </row>
    <row r="1425" spans="22:22" x14ac:dyDescent="0.25">
      <c r="V1425" s="90"/>
    </row>
    <row r="1426" spans="22:22" x14ac:dyDescent="0.25">
      <c r="V1426" s="90"/>
    </row>
    <row r="1427" spans="22:22" x14ac:dyDescent="0.25">
      <c r="V1427" s="90"/>
    </row>
    <row r="1428" spans="22:22" x14ac:dyDescent="0.25">
      <c r="V1428" s="90"/>
    </row>
    <row r="1429" spans="22:22" x14ac:dyDescent="0.25">
      <c r="V1429" s="90"/>
    </row>
    <row r="1430" spans="22:22" x14ac:dyDescent="0.25">
      <c r="V1430" s="90"/>
    </row>
    <row r="1431" spans="22:22" x14ac:dyDescent="0.25">
      <c r="V1431" s="90"/>
    </row>
    <row r="1432" spans="22:22" x14ac:dyDescent="0.25">
      <c r="V1432" s="90"/>
    </row>
    <row r="1433" spans="22:22" x14ac:dyDescent="0.25">
      <c r="V1433" s="90"/>
    </row>
    <row r="1434" spans="22:22" x14ac:dyDescent="0.25">
      <c r="V1434" s="90"/>
    </row>
    <row r="1435" spans="22:22" x14ac:dyDescent="0.25">
      <c r="V1435" s="90"/>
    </row>
    <row r="1436" spans="22:22" x14ac:dyDescent="0.25">
      <c r="V1436" s="90"/>
    </row>
    <row r="1437" spans="22:22" x14ac:dyDescent="0.25">
      <c r="V1437" s="90"/>
    </row>
    <row r="1438" spans="22:22" x14ac:dyDescent="0.25">
      <c r="V1438" s="90"/>
    </row>
    <row r="1439" spans="22:22" x14ac:dyDescent="0.25">
      <c r="V1439" s="90"/>
    </row>
    <row r="1440" spans="22:22" x14ac:dyDescent="0.25">
      <c r="V1440" s="90"/>
    </row>
    <row r="1441" spans="22:22" x14ac:dyDescent="0.25">
      <c r="V1441" s="90"/>
    </row>
    <row r="1442" spans="22:22" x14ac:dyDescent="0.25">
      <c r="V1442" s="90"/>
    </row>
    <row r="1443" spans="22:22" x14ac:dyDescent="0.25">
      <c r="V1443" s="90"/>
    </row>
    <row r="1444" spans="22:22" x14ac:dyDescent="0.25">
      <c r="V1444" s="90"/>
    </row>
    <row r="1445" spans="22:22" x14ac:dyDescent="0.25">
      <c r="V1445" s="90"/>
    </row>
    <row r="1446" spans="22:22" x14ac:dyDescent="0.25">
      <c r="V1446" s="90"/>
    </row>
    <row r="1447" spans="22:22" x14ac:dyDescent="0.25">
      <c r="V1447" s="90"/>
    </row>
    <row r="1448" spans="22:22" x14ac:dyDescent="0.25">
      <c r="V1448" s="90"/>
    </row>
    <row r="1449" spans="22:22" x14ac:dyDescent="0.25">
      <c r="V1449" s="90"/>
    </row>
    <row r="1450" spans="22:22" x14ac:dyDescent="0.25">
      <c r="V1450" s="90"/>
    </row>
    <row r="1451" spans="22:22" x14ac:dyDescent="0.25">
      <c r="V1451" s="90"/>
    </row>
    <row r="1452" spans="22:22" x14ac:dyDescent="0.25">
      <c r="V1452" s="90"/>
    </row>
    <row r="1453" spans="22:22" x14ac:dyDescent="0.25">
      <c r="V1453" s="90"/>
    </row>
    <row r="1454" spans="22:22" x14ac:dyDescent="0.25">
      <c r="V1454" s="90"/>
    </row>
    <row r="1455" spans="22:22" x14ac:dyDescent="0.25">
      <c r="V1455" s="90"/>
    </row>
    <row r="1456" spans="22:22" x14ac:dyDescent="0.25">
      <c r="V1456" s="90"/>
    </row>
    <row r="1457" spans="22:22" x14ac:dyDescent="0.25">
      <c r="V1457" s="90"/>
    </row>
    <row r="1458" spans="22:22" x14ac:dyDescent="0.25">
      <c r="V1458" s="90"/>
    </row>
    <row r="1459" spans="22:22" x14ac:dyDescent="0.25">
      <c r="V1459" s="90"/>
    </row>
    <row r="1460" spans="22:22" x14ac:dyDescent="0.25">
      <c r="V1460" s="90"/>
    </row>
    <row r="1461" spans="22:22" x14ac:dyDescent="0.25">
      <c r="V1461" s="90"/>
    </row>
    <row r="1462" spans="22:22" x14ac:dyDescent="0.25">
      <c r="V1462" s="90"/>
    </row>
    <row r="1463" spans="22:22" x14ac:dyDescent="0.25">
      <c r="V1463" s="90"/>
    </row>
    <row r="1464" spans="22:22" x14ac:dyDescent="0.25">
      <c r="V1464" s="90"/>
    </row>
    <row r="1465" spans="22:22" x14ac:dyDescent="0.25">
      <c r="V1465" s="90"/>
    </row>
    <row r="1466" spans="22:22" x14ac:dyDescent="0.25">
      <c r="V1466" s="90"/>
    </row>
    <row r="1467" spans="22:22" x14ac:dyDescent="0.25">
      <c r="V1467" s="90"/>
    </row>
    <row r="1468" spans="22:22" x14ac:dyDescent="0.25">
      <c r="V1468" s="90"/>
    </row>
    <row r="1469" spans="22:22" x14ac:dyDescent="0.25">
      <c r="V1469" s="90"/>
    </row>
    <row r="1470" spans="22:22" x14ac:dyDescent="0.25">
      <c r="V1470" s="90"/>
    </row>
    <row r="1471" spans="22:22" x14ac:dyDescent="0.25">
      <c r="V1471" s="90"/>
    </row>
    <row r="1472" spans="22:22" x14ac:dyDescent="0.25">
      <c r="V1472" s="90"/>
    </row>
    <row r="1473" spans="22:22" x14ac:dyDescent="0.25">
      <c r="V1473" s="90"/>
    </row>
    <row r="1474" spans="22:22" x14ac:dyDescent="0.25">
      <c r="V1474" s="90"/>
    </row>
    <row r="1475" spans="22:22" x14ac:dyDescent="0.25">
      <c r="V1475" s="90"/>
    </row>
    <row r="1476" spans="22:22" x14ac:dyDescent="0.25">
      <c r="V1476" s="90"/>
    </row>
    <row r="1477" spans="22:22" x14ac:dyDescent="0.25">
      <c r="V1477" s="90"/>
    </row>
    <row r="1478" spans="22:22" x14ac:dyDescent="0.25">
      <c r="V1478" s="90"/>
    </row>
    <row r="1479" spans="22:22" x14ac:dyDescent="0.25">
      <c r="V1479" s="90"/>
    </row>
    <row r="1480" spans="22:22" x14ac:dyDescent="0.25">
      <c r="V1480" s="90"/>
    </row>
    <row r="1481" spans="22:22" x14ac:dyDescent="0.25">
      <c r="V1481" s="90"/>
    </row>
    <row r="1482" spans="22:22" x14ac:dyDescent="0.25">
      <c r="V1482" s="90"/>
    </row>
    <row r="1483" spans="22:22" x14ac:dyDescent="0.25">
      <c r="V1483" s="90"/>
    </row>
    <row r="1484" spans="22:22" x14ac:dyDescent="0.25">
      <c r="V1484" s="90"/>
    </row>
    <row r="1485" spans="22:22" x14ac:dyDescent="0.25">
      <c r="V1485" s="90"/>
    </row>
    <row r="1486" spans="22:22" x14ac:dyDescent="0.25">
      <c r="V1486" s="90"/>
    </row>
    <row r="1487" spans="22:22" x14ac:dyDescent="0.25">
      <c r="V1487" s="90"/>
    </row>
    <row r="1488" spans="22:22" x14ac:dyDescent="0.25">
      <c r="V1488" s="90"/>
    </row>
    <row r="1489" spans="22:22" x14ac:dyDescent="0.25">
      <c r="V1489" s="90"/>
    </row>
    <row r="1490" spans="22:22" x14ac:dyDescent="0.25">
      <c r="V1490" s="90"/>
    </row>
    <row r="1491" spans="22:22" x14ac:dyDescent="0.25">
      <c r="V1491" s="90"/>
    </row>
    <row r="1492" spans="22:22" x14ac:dyDescent="0.25">
      <c r="V1492" s="90"/>
    </row>
    <row r="1493" spans="22:22" x14ac:dyDescent="0.25">
      <c r="V1493" s="90"/>
    </row>
    <row r="1494" spans="22:22" x14ac:dyDescent="0.25">
      <c r="V1494" s="90"/>
    </row>
    <row r="1495" spans="22:22" x14ac:dyDescent="0.25">
      <c r="V1495" s="90"/>
    </row>
    <row r="1496" spans="22:22" x14ac:dyDescent="0.25">
      <c r="V1496" s="90"/>
    </row>
    <row r="1497" spans="22:22" x14ac:dyDescent="0.25">
      <c r="V1497" s="90"/>
    </row>
    <row r="1498" spans="22:22" x14ac:dyDescent="0.25">
      <c r="V1498" s="90"/>
    </row>
    <row r="1499" spans="22:22" x14ac:dyDescent="0.25">
      <c r="V1499" s="90"/>
    </row>
    <row r="1500" spans="22:22" x14ac:dyDescent="0.25">
      <c r="V1500" s="90"/>
    </row>
    <row r="1501" spans="22:22" x14ac:dyDescent="0.25">
      <c r="V1501" s="90"/>
    </row>
    <row r="1502" spans="22:22" x14ac:dyDescent="0.25">
      <c r="V1502" s="90"/>
    </row>
    <row r="1503" spans="22:22" x14ac:dyDescent="0.25">
      <c r="V1503" s="90"/>
    </row>
    <row r="1504" spans="22:22" x14ac:dyDescent="0.25">
      <c r="V1504" s="90"/>
    </row>
    <row r="1505" spans="22:22" x14ac:dyDescent="0.25">
      <c r="V1505" s="90"/>
    </row>
    <row r="1506" spans="22:22" x14ac:dyDescent="0.25">
      <c r="V1506" s="90"/>
    </row>
    <row r="1507" spans="22:22" x14ac:dyDescent="0.25">
      <c r="V1507" s="90"/>
    </row>
    <row r="1508" spans="22:22" x14ac:dyDescent="0.25">
      <c r="V1508" s="90"/>
    </row>
    <row r="1509" spans="22:22" x14ac:dyDescent="0.25">
      <c r="V1509" s="90"/>
    </row>
    <row r="1510" spans="22:22" x14ac:dyDescent="0.25">
      <c r="V1510" s="90"/>
    </row>
    <row r="1511" spans="22:22" x14ac:dyDescent="0.25">
      <c r="V1511" s="90"/>
    </row>
    <row r="1512" spans="22:22" x14ac:dyDescent="0.25">
      <c r="V1512" s="90"/>
    </row>
    <row r="1513" spans="22:22" x14ac:dyDescent="0.25">
      <c r="V1513" s="90"/>
    </row>
    <row r="1514" spans="22:22" x14ac:dyDescent="0.25">
      <c r="V1514" s="90"/>
    </row>
    <row r="1515" spans="22:22" x14ac:dyDescent="0.25">
      <c r="V1515" s="90"/>
    </row>
    <row r="1516" spans="22:22" x14ac:dyDescent="0.25">
      <c r="V1516" s="90"/>
    </row>
    <row r="1517" spans="22:22" x14ac:dyDescent="0.25">
      <c r="V1517" s="90"/>
    </row>
    <row r="1518" spans="22:22" x14ac:dyDescent="0.25">
      <c r="V1518" s="90"/>
    </row>
    <row r="1519" spans="22:22" x14ac:dyDescent="0.25">
      <c r="V1519" s="90"/>
    </row>
    <row r="1520" spans="22:22" x14ac:dyDescent="0.25">
      <c r="V1520" s="90"/>
    </row>
    <row r="1521" spans="22:22" x14ac:dyDescent="0.25">
      <c r="V1521" s="90"/>
    </row>
    <row r="1522" spans="22:22" x14ac:dyDescent="0.25">
      <c r="V1522" s="90"/>
    </row>
    <row r="1523" spans="22:22" x14ac:dyDescent="0.25">
      <c r="V1523" s="90"/>
    </row>
    <row r="1524" spans="22:22" x14ac:dyDescent="0.25">
      <c r="V1524" s="90"/>
    </row>
    <row r="1525" spans="22:22" x14ac:dyDescent="0.25">
      <c r="V1525" s="90"/>
    </row>
    <row r="1526" spans="22:22" x14ac:dyDescent="0.25">
      <c r="V1526" s="90"/>
    </row>
    <row r="1527" spans="22:22" x14ac:dyDescent="0.25">
      <c r="V1527" s="90"/>
    </row>
    <row r="1528" spans="22:22" x14ac:dyDescent="0.25">
      <c r="V1528" s="90"/>
    </row>
    <row r="1529" spans="22:22" x14ac:dyDescent="0.25">
      <c r="V1529" s="90"/>
    </row>
    <row r="1530" spans="22:22" x14ac:dyDescent="0.25">
      <c r="V1530" s="90"/>
    </row>
    <row r="1531" spans="22:22" x14ac:dyDescent="0.25">
      <c r="V1531" s="90"/>
    </row>
    <row r="1532" spans="22:22" x14ac:dyDescent="0.25">
      <c r="V1532" s="90"/>
    </row>
    <row r="1533" spans="22:22" x14ac:dyDescent="0.25">
      <c r="V1533" s="90"/>
    </row>
    <row r="1534" spans="22:22" x14ac:dyDescent="0.25">
      <c r="V1534" s="90"/>
    </row>
    <row r="1535" spans="22:22" x14ac:dyDescent="0.25">
      <c r="V1535" s="90"/>
    </row>
    <row r="1536" spans="22:22" x14ac:dyDescent="0.25">
      <c r="V1536" s="90"/>
    </row>
    <row r="1537" spans="22:22" x14ac:dyDescent="0.25">
      <c r="V1537" s="90"/>
    </row>
    <row r="1538" spans="22:22" x14ac:dyDescent="0.25">
      <c r="V1538" s="90"/>
    </row>
    <row r="1539" spans="22:22" x14ac:dyDescent="0.25">
      <c r="V1539" s="90"/>
    </row>
    <row r="1540" spans="22:22" x14ac:dyDescent="0.25">
      <c r="V1540" s="90"/>
    </row>
    <row r="1541" spans="22:22" x14ac:dyDescent="0.25">
      <c r="V1541" s="90"/>
    </row>
    <row r="1542" spans="22:22" x14ac:dyDescent="0.25">
      <c r="V1542" s="90"/>
    </row>
    <row r="1543" spans="22:22" x14ac:dyDescent="0.25">
      <c r="V1543" s="90"/>
    </row>
    <row r="1544" spans="22:22" x14ac:dyDescent="0.25">
      <c r="V1544" s="90"/>
    </row>
    <row r="1545" spans="22:22" x14ac:dyDescent="0.25">
      <c r="V1545" s="90"/>
    </row>
    <row r="1546" spans="22:22" x14ac:dyDescent="0.25">
      <c r="V1546" s="90"/>
    </row>
    <row r="1547" spans="22:22" x14ac:dyDescent="0.25">
      <c r="V1547" s="90"/>
    </row>
    <row r="1548" spans="22:22" x14ac:dyDescent="0.25">
      <c r="V1548" s="90"/>
    </row>
    <row r="1549" spans="22:22" x14ac:dyDescent="0.25">
      <c r="V1549" s="90"/>
    </row>
    <row r="1550" spans="22:22" x14ac:dyDescent="0.25">
      <c r="V1550" s="90"/>
    </row>
    <row r="1551" spans="22:22" x14ac:dyDescent="0.25">
      <c r="V1551" s="90"/>
    </row>
    <row r="1552" spans="22:22" x14ac:dyDescent="0.25">
      <c r="V1552" s="90"/>
    </row>
    <row r="1553" spans="22:22" x14ac:dyDescent="0.25">
      <c r="V1553" s="90"/>
    </row>
    <row r="1554" spans="22:22" x14ac:dyDescent="0.25">
      <c r="V1554" s="90"/>
    </row>
    <row r="1555" spans="22:22" x14ac:dyDescent="0.25">
      <c r="V1555" s="90"/>
    </row>
    <row r="1556" spans="22:22" x14ac:dyDescent="0.25">
      <c r="V1556" s="90"/>
    </row>
    <row r="1557" spans="22:22" x14ac:dyDescent="0.25">
      <c r="V1557" s="90"/>
    </row>
    <row r="1558" spans="22:22" x14ac:dyDescent="0.25">
      <c r="V1558" s="90"/>
    </row>
    <row r="1559" spans="22:22" x14ac:dyDescent="0.25">
      <c r="V1559" s="90"/>
    </row>
    <row r="1560" spans="22:22" x14ac:dyDescent="0.25">
      <c r="V1560" s="90"/>
    </row>
    <row r="1561" spans="22:22" x14ac:dyDescent="0.25">
      <c r="V1561" s="90"/>
    </row>
    <row r="1562" spans="22:22" x14ac:dyDescent="0.25">
      <c r="V1562" s="90"/>
    </row>
    <row r="1563" spans="22:22" x14ac:dyDescent="0.25">
      <c r="V1563" s="90"/>
    </row>
    <row r="1564" spans="22:22" x14ac:dyDescent="0.25">
      <c r="V1564" s="90"/>
    </row>
    <row r="1565" spans="22:22" x14ac:dyDescent="0.25">
      <c r="V1565" s="90"/>
    </row>
    <row r="1566" spans="22:22" x14ac:dyDescent="0.25">
      <c r="V1566" s="90"/>
    </row>
    <row r="1567" spans="22:22" x14ac:dyDescent="0.25">
      <c r="V1567" s="90"/>
    </row>
    <row r="1568" spans="22:22" x14ac:dyDescent="0.25">
      <c r="V1568" s="90"/>
    </row>
    <row r="1569" spans="22:22" x14ac:dyDescent="0.25">
      <c r="V1569" s="90"/>
    </row>
    <row r="1570" spans="22:22" x14ac:dyDescent="0.25">
      <c r="V1570" s="90"/>
    </row>
    <row r="1571" spans="22:22" x14ac:dyDescent="0.25">
      <c r="V1571" s="90"/>
    </row>
    <row r="1572" spans="22:22" x14ac:dyDescent="0.25">
      <c r="V1572" s="90"/>
    </row>
    <row r="1573" spans="22:22" x14ac:dyDescent="0.25">
      <c r="V1573" s="90"/>
    </row>
    <row r="1574" spans="22:22" x14ac:dyDescent="0.25">
      <c r="V1574" s="90"/>
    </row>
    <row r="1575" spans="22:22" x14ac:dyDescent="0.25">
      <c r="V1575" s="90"/>
    </row>
    <row r="1576" spans="22:22" x14ac:dyDescent="0.25">
      <c r="V1576" s="90"/>
    </row>
    <row r="1577" spans="22:22" x14ac:dyDescent="0.25">
      <c r="V1577" s="90"/>
    </row>
    <row r="1578" spans="22:22" x14ac:dyDescent="0.25">
      <c r="V1578" s="90"/>
    </row>
    <row r="1579" spans="22:22" x14ac:dyDescent="0.25">
      <c r="V1579" s="90"/>
    </row>
    <row r="1580" spans="22:22" x14ac:dyDescent="0.25">
      <c r="V1580" s="90"/>
    </row>
    <row r="1581" spans="22:22" x14ac:dyDescent="0.25">
      <c r="V1581" s="90"/>
    </row>
    <row r="1582" spans="22:22" x14ac:dyDescent="0.25">
      <c r="V1582" s="90"/>
    </row>
    <row r="1583" spans="22:22" x14ac:dyDescent="0.25">
      <c r="V1583" s="90"/>
    </row>
    <row r="1584" spans="22:22" x14ac:dyDescent="0.25">
      <c r="V1584" s="90"/>
    </row>
    <row r="1585" spans="22:22" x14ac:dyDescent="0.25">
      <c r="V1585" s="90"/>
    </row>
    <row r="1586" spans="22:22" x14ac:dyDescent="0.25">
      <c r="V1586" s="90"/>
    </row>
    <row r="1587" spans="22:22" x14ac:dyDescent="0.25">
      <c r="V1587" s="90"/>
    </row>
    <row r="1588" spans="22:22" x14ac:dyDescent="0.25">
      <c r="V1588" s="90"/>
    </row>
    <row r="1589" spans="22:22" x14ac:dyDescent="0.25">
      <c r="V1589" s="90"/>
    </row>
    <row r="1590" spans="22:22" x14ac:dyDescent="0.25">
      <c r="V1590" s="90"/>
    </row>
    <row r="1591" spans="22:22" x14ac:dyDescent="0.25">
      <c r="V1591" s="90"/>
    </row>
    <row r="1592" spans="22:22" x14ac:dyDescent="0.25">
      <c r="V1592" s="90"/>
    </row>
    <row r="1593" spans="22:22" x14ac:dyDescent="0.25">
      <c r="V1593" s="90"/>
    </row>
    <row r="1594" spans="22:22" x14ac:dyDescent="0.25">
      <c r="V1594" s="90"/>
    </row>
    <row r="1595" spans="22:22" x14ac:dyDescent="0.25">
      <c r="V1595" s="90"/>
    </row>
    <row r="1596" spans="22:22" x14ac:dyDescent="0.25">
      <c r="V1596" s="90"/>
    </row>
    <row r="1597" spans="22:22" x14ac:dyDescent="0.25">
      <c r="V1597" s="90"/>
    </row>
    <row r="1598" spans="22:22" x14ac:dyDescent="0.25">
      <c r="V1598" s="90"/>
    </row>
    <row r="1599" spans="22:22" x14ac:dyDescent="0.25">
      <c r="V1599" s="90"/>
    </row>
    <row r="1600" spans="22:22" x14ac:dyDescent="0.25">
      <c r="V1600" s="90"/>
    </row>
    <row r="1601" spans="22:22" x14ac:dyDescent="0.25">
      <c r="V1601" s="90"/>
    </row>
    <row r="1602" spans="22:22" x14ac:dyDescent="0.25">
      <c r="V1602" s="90"/>
    </row>
    <row r="1603" spans="22:22" x14ac:dyDescent="0.25">
      <c r="V1603" s="90"/>
    </row>
    <row r="1604" spans="22:22" x14ac:dyDescent="0.25">
      <c r="V1604" s="90"/>
    </row>
    <row r="1605" spans="22:22" x14ac:dyDescent="0.25">
      <c r="V1605" s="90"/>
    </row>
    <row r="1606" spans="22:22" x14ac:dyDescent="0.25">
      <c r="V1606" s="90"/>
    </row>
    <row r="1607" spans="22:22" x14ac:dyDescent="0.25">
      <c r="V1607" s="90"/>
    </row>
    <row r="1608" spans="22:22" x14ac:dyDescent="0.25">
      <c r="V1608" s="90"/>
    </row>
    <row r="1609" spans="22:22" x14ac:dyDescent="0.25">
      <c r="V1609" s="90"/>
    </row>
    <row r="1610" spans="22:22" x14ac:dyDescent="0.25">
      <c r="V1610" s="90"/>
    </row>
    <row r="1611" spans="22:22" x14ac:dyDescent="0.25">
      <c r="V1611" s="90"/>
    </row>
    <row r="1612" spans="22:22" x14ac:dyDescent="0.25">
      <c r="V1612" s="90"/>
    </row>
    <row r="1613" spans="22:22" x14ac:dyDescent="0.25">
      <c r="V1613" s="90"/>
    </row>
    <row r="1614" spans="22:22" x14ac:dyDescent="0.25">
      <c r="V1614" s="90"/>
    </row>
    <row r="1615" spans="22:22" x14ac:dyDescent="0.25">
      <c r="V1615" s="90"/>
    </row>
    <row r="1616" spans="22:22" x14ac:dyDescent="0.25">
      <c r="V1616" s="90"/>
    </row>
    <row r="1617" spans="22:22" x14ac:dyDescent="0.25">
      <c r="V1617" s="90"/>
    </row>
    <row r="1618" spans="22:22" x14ac:dyDescent="0.25">
      <c r="V1618" s="90"/>
    </row>
    <row r="1619" spans="22:22" x14ac:dyDescent="0.25">
      <c r="V1619" s="90"/>
    </row>
    <row r="1620" spans="22:22" x14ac:dyDescent="0.25">
      <c r="V1620" s="90"/>
    </row>
    <row r="1621" spans="22:22" x14ac:dyDescent="0.25">
      <c r="V1621" s="90"/>
    </row>
    <row r="1622" spans="22:22" x14ac:dyDescent="0.25">
      <c r="V1622" s="90"/>
    </row>
    <row r="1623" spans="22:22" x14ac:dyDescent="0.25">
      <c r="V1623" s="90"/>
    </row>
    <row r="1624" spans="22:22" x14ac:dyDescent="0.25">
      <c r="V1624" s="90"/>
    </row>
    <row r="1625" spans="22:22" x14ac:dyDescent="0.25">
      <c r="V1625" s="90"/>
    </row>
    <row r="1626" spans="22:22" x14ac:dyDescent="0.25">
      <c r="V1626" s="90"/>
    </row>
    <row r="1627" spans="22:22" x14ac:dyDescent="0.25">
      <c r="V1627" s="90"/>
    </row>
    <row r="1628" spans="22:22" x14ac:dyDescent="0.25">
      <c r="V1628" s="90"/>
    </row>
    <row r="1629" spans="22:22" x14ac:dyDescent="0.25">
      <c r="V1629" s="90"/>
    </row>
    <row r="1630" spans="22:22" x14ac:dyDescent="0.25">
      <c r="V1630" s="90"/>
    </row>
    <row r="1631" spans="22:22" x14ac:dyDescent="0.25">
      <c r="V1631" s="90"/>
    </row>
    <row r="1632" spans="22:22" x14ac:dyDescent="0.25">
      <c r="V1632" s="90"/>
    </row>
    <row r="1633" spans="22:22" x14ac:dyDescent="0.25">
      <c r="V1633" s="90"/>
    </row>
    <row r="1634" spans="22:22" x14ac:dyDescent="0.25">
      <c r="V1634" s="90"/>
    </row>
    <row r="1635" spans="22:22" x14ac:dyDescent="0.25">
      <c r="V1635" s="90"/>
    </row>
    <row r="1636" spans="22:22" x14ac:dyDescent="0.25">
      <c r="V1636" s="90"/>
    </row>
    <row r="1637" spans="22:22" x14ac:dyDescent="0.25">
      <c r="V1637" s="90"/>
    </row>
    <row r="1638" spans="22:22" x14ac:dyDescent="0.25">
      <c r="V1638" s="90"/>
    </row>
    <row r="1639" spans="22:22" x14ac:dyDescent="0.25">
      <c r="V1639" s="90"/>
    </row>
    <row r="1640" spans="22:22" x14ac:dyDescent="0.25">
      <c r="V1640" s="90"/>
    </row>
    <row r="1641" spans="22:22" x14ac:dyDescent="0.25">
      <c r="V1641" s="90"/>
    </row>
    <row r="1642" spans="22:22" x14ac:dyDescent="0.25">
      <c r="V1642" s="90"/>
    </row>
    <row r="1643" spans="22:22" x14ac:dyDescent="0.25">
      <c r="V1643" s="90"/>
    </row>
    <row r="1644" spans="22:22" x14ac:dyDescent="0.25">
      <c r="V1644" s="90"/>
    </row>
    <row r="1645" spans="22:22" x14ac:dyDescent="0.25">
      <c r="V1645" s="90"/>
    </row>
    <row r="1646" spans="22:22" x14ac:dyDescent="0.25">
      <c r="V1646" s="90"/>
    </row>
    <row r="1647" spans="22:22" x14ac:dyDescent="0.25">
      <c r="V1647" s="90"/>
    </row>
    <row r="1648" spans="22:22" x14ac:dyDescent="0.25">
      <c r="V1648" s="90"/>
    </row>
    <row r="1649" spans="22:22" x14ac:dyDescent="0.25">
      <c r="V1649" s="90"/>
    </row>
    <row r="1650" spans="22:22" x14ac:dyDescent="0.25">
      <c r="V1650" s="90"/>
    </row>
    <row r="1651" spans="22:22" x14ac:dyDescent="0.25">
      <c r="V1651" s="90"/>
    </row>
    <row r="1652" spans="22:22" x14ac:dyDescent="0.25">
      <c r="V1652" s="90"/>
    </row>
    <row r="1653" spans="22:22" x14ac:dyDescent="0.25">
      <c r="V1653" s="90"/>
    </row>
    <row r="1654" spans="22:22" x14ac:dyDescent="0.25">
      <c r="V1654" s="90"/>
    </row>
    <row r="1655" spans="22:22" x14ac:dyDescent="0.25">
      <c r="V1655" s="90"/>
    </row>
    <row r="1656" spans="22:22" x14ac:dyDescent="0.25">
      <c r="V1656" s="90"/>
    </row>
    <row r="1657" spans="22:22" x14ac:dyDescent="0.25">
      <c r="V1657" s="90"/>
    </row>
    <row r="1658" spans="22:22" x14ac:dyDescent="0.25">
      <c r="V1658" s="90"/>
    </row>
    <row r="1659" spans="22:22" x14ac:dyDescent="0.25">
      <c r="V1659" s="90"/>
    </row>
    <row r="1660" spans="22:22" x14ac:dyDescent="0.25">
      <c r="V1660" s="90"/>
    </row>
    <row r="1661" spans="22:22" x14ac:dyDescent="0.25">
      <c r="V1661" s="90"/>
    </row>
    <row r="1662" spans="22:22" x14ac:dyDescent="0.25">
      <c r="V1662" s="90"/>
    </row>
    <row r="1663" spans="22:22" x14ac:dyDescent="0.25">
      <c r="V1663" s="90"/>
    </row>
    <row r="1664" spans="22:22" x14ac:dyDescent="0.25">
      <c r="V1664" s="90"/>
    </row>
    <row r="1665" spans="22:22" x14ac:dyDescent="0.25">
      <c r="V1665" s="90"/>
    </row>
    <row r="1666" spans="22:22" x14ac:dyDescent="0.25">
      <c r="V1666" s="90"/>
    </row>
    <row r="1667" spans="22:22" x14ac:dyDescent="0.25">
      <c r="V1667" s="90"/>
    </row>
    <row r="1668" spans="22:22" x14ac:dyDescent="0.25">
      <c r="V1668" s="90"/>
    </row>
    <row r="1669" spans="22:22" x14ac:dyDescent="0.25">
      <c r="V1669" s="90"/>
    </row>
    <row r="1670" spans="22:22" x14ac:dyDescent="0.25">
      <c r="V1670" s="90"/>
    </row>
    <row r="1671" spans="22:22" x14ac:dyDescent="0.25">
      <c r="V1671" s="90"/>
    </row>
    <row r="1672" spans="22:22" x14ac:dyDescent="0.25">
      <c r="V1672" s="90"/>
    </row>
    <row r="1673" spans="22:22" x14ac:dyDescent="0.25">
      <c r="V1673" s="90"/>
    </row>
    <row r="1674" spans="22:22" x14ac:dyDescent="0.25">
      <c r="V1674" s="90"/>
    </row>
    <row r="1675" spans="22:22" x14ac:dyDescent="0.25">
      <c r="V1675" s="90"/>
    </row>
    <row r="1676" spans="22:22" x14ac:dyDescent="0.25">
      <c r="V1676" s="90"/>
    </row>
    <row r="1677" spans="22:22" x14ac:dyDescent="0.25">
      <c r="V1677" s="90"/>
    </row>
    <row r="1678" spans="22:22" x14ac:dyDescent="0.25">
      <c r="V1678" s="90"/>
    </row>
    <row r="1679" spans="22:22" x14ac:dyDescent="0.25">
      <c r="V1679" s="90"/>
    </row>
    <row r="1680" spans="22:22" x14ac:dyDescent="0.25">
      <c r="V1680" s="90"/>
    </row>
    <row r="1681" spans="22:22" x14ac:dyDescent="0.25">
      <c r="V1681" s="90"/>
    </row>
    <row r="1682" spans="22:22" x14ac:dyDescent="0.25">
      <c r="V1682" s="90"/>
    </row>
    <row r="1683" spans="22:22" x14ac:dyDescent="0.25">
      <c r="V1683" s="90"/>
    </row>
    <row r="1684" spans="22:22" x14ac:dyDescent="0.25">
      <c r="V1684" s="90"/>
    </row>
    <row r="1685" spans="22:22" x14ac:dyDescent="0.25">
      <c r="V1685" s="90"/>
    </row>
    <row r="1686" spans="22:22" x14ac:dyDescent="0.25">
      <c r="V1686" s="90"/>
    </row>
    <row r="1687" spans="22:22" x14ac:dyDescent="0.25">
      <c r="V1687" s="90"/>
    </row>
    <row r="1688" spans="22:22" x14ac:dyDescent="0.25">
      <c r="V1688" s="90"/>
    </row>
    <row r="1689" spans="22:22" x14ac:dyDescent="0.25">
      <c r="V1689" s="90"/>
    </row>
    <row r="1690" spans="22:22" x14ac:dyDescent="0.25">
      <c r="V1690" s="90"/>
    </row>
    <row r="1691" spans="22:22" x14ac:dyDescent="0.25">
      <c r="V1691" s="90"/>
    </row>
    <row r="1692" spans="22:22" x14ac:dyDescent="0.25">
      <c r="V1692" s="90"/>
    </row>
    <row r="1693" spans="22:22" x14ac:dyDescent="0.25">
      <c r="V1693" s="90"/>
    </row>
    <row r="1694" spans="22:22" x14ac:dyDescent="0.25">
      <c r="V1694" s="90"/>
    </row>
    <row r="1695" spans="22:22" x14ac:dyDescent="0.25">
      <c r="V1695" s="90"/>
    </row>
    <row r="1696" spans="22:22" x14ac:dyDescent="0.25">
      <c r="V1696" s="90"/>
    </row>
    <row r="1697" spans="22:22" x14ac:dyDescent="0.25">
      <c r="V1697" s="90"/>
    </row>
    <row r="1698" spans="22:22" x14ac:dyDescent="0.25">
      <c r="V1698" s="90"/>
    </row>
    <row r="1699" spans="22:22" x14ac:dyDescent="0.25">
      <c r="V1699" s="90"/>
    </row>
    <row r="1700" spans="22:22" x14ac:dyDescent="0.25">
      <c r="V1700" s="90"/>
    </row>
    <row r="1701" spans="22:22" x14ac:dyDescent="0.25">
      <c r="V1701" s="90"/>
    </row>
    <row r="1702" spans="22:22" x14ac:dyDescent="0.25">
      <c r="V1702" s="90"/>
    </row>
    <row r="1703" spans="22:22" x14ac:dyDescent="0.25">
      <c r="V1703" s="90"/>
    </row>
    <row r="1704" spans="22:22" x14ac:dyDescent="0.25">
      <c r="V1704" s="90"/>
    </row>
    <row r="1705" spans="22:22" x14ac:dyDescent="0.25">
      <c r="V1705" s="90"/>
    </row>
    <row r="1706" spans="22:22" x14ac:dyDescent="0.25">
      <c r="V1706" s="90"/>
    </row>
    <row r="1707" spans="22:22" x14ac:dyDescent="0.25">
      <c r="V1707" s="90"/>
    </row>
    <row r="1708" spans="22:22" x14ac:dyDescent="0.25">
      <c r="V1708" s="90"/>
    </row>
    <row r="1709" spans="22:22" x14ac:dyDescent="0.25">
      <c r="V1709" s="90"/>
    </row>
    <row r="1710" spans="22:22" x14ac:dyDescent="0.25">
      <c r="V1710" s="90"/>
    </row>
    <row r="1711" spans="22:22" x14ac:dyDescent="0.25">
      <c r="V1711" s="90"/>
    </row>
    <row r="1712" spans="22:22" x14ac:dyDescent="0.25">
      <c r="V1712" s="90"/>
    </row>
    <row r="1713" spans="22:22" x14ac:dyDescent="0.25">
      <c r="V1713" s="90"/>
    </row>
    <row r="1714" spans="22:22" x14ac:dyDescent="0.25">
      <c r="V1714" s="90"/>
    </row>
    <row r="1715" spans="22:22" x14ac:dyDescent="0.25">
      <c r="V1715" s="90"/>
    </row>
    <row r="1716" spans="22:22" x14ac:dyDescent="0.25">
      <c r="V1716" s="90"/>
    </row>
    <row r="1717" spans="22:22" x14ac:dyDescent="0.25">
      <c r="V1717" s="90"/>
    </row>
    <row r="1718" spans="22:22" x14ac:dyDescent="0.25">
      <c r="V1718" s="90"/>
    </row>
    <row r="1719" spans="22:22" x14ac:dyDescent="0.25">
      <c r="V1719" s="90"/>
    </row>
    <row r="1720" spans="22:22" x14ac:dyDescent="0.25">
      <c r="V1720" s="90"/>
    </row>
    <row r="1721" spans="22:22" x14ac:dyDescent="0.25">
      <c r="V1721" s="90"/>
    </row>
    <row r="1722" spans="22:22" x14ac:dyDescent="0.25">
      <c r="V1722" s="90"/>
    </row>
    <row r="1723" spans="22:22" x14ac:dyDescent="0.25">
      <c r="V1723" s="90"/>
    </row>
    <row r="1724" spans="22:22" x14ac:dyDescent="0.25">
      <c r="V1724" s="90"/>
    </row>
    <row r="1725" spans="22:22" x14ac:dyDescent="0.25">
      <c r="V1725" s="90"/>
    </row>
    <row r="1726" spans="22:22" x14ac:dyDescent="0.25">
      <c r="V1726" s="90"/>
    </row>
    <row r="1727" spans="22:22" x14ac:dyDescent="0.25">
      <c r="V1727" s="90"/>
    </row>
    <row r="1728" spans="22:22" x14ac:dyDescent="0.25">
      <c r="V1728" s="90"/>
    </row>
    <row r="1729" spans="22:22" x14ac:dyDescent="0.25">
      <c r="V1729" s="90"/>
    </row>
    <row r="1730" spans="22:22" x14ac:dyDescent="0.25">
      <c r="V1730" s="90"/>
    </row>
    <row r="1731" spans="22:22" x14ac:dyDescent="0.25">
      <c r="V1731" s="90"/>
    </row>
    <row r="1732" spans="22:22" x14ac:dyDescent="0.25">
      <c r="V1732" s="90"/>
    </row>
    <row r="1733" spans="22:22" x14ac:dyDescent="0.25">
      <c r="V1733" s="90"/>
    </row>
    <row r="1734" spans="22:22" x14ac:dyDescent="0.25">
      <c r="V1734" s="90"/>
    </row>
    <row r="1735" spans="22:22" x14ac:dyDescent="0.25">
      <c r="V1735" s="90"/>
    </row>
    <row r="1736" spans="22:22" x14ac:dyDescent="0.25">
      <c r="V1736" s="90"/>
    </row>
    <row r="1737" spans="22:22" x14ac:dyDescent="0.25">
      <c r="V1737" s="90"/>
    </row>
    <row r="1738" spans="22:22" x14ac:dyDescent="0.25">
      <c r="V1738" s="90"/>
    </row>
    <row r="1739" spans="22:22" x14ac:dyDescent="0.25">
      <c r="V1739" s="90"/>
    </row>
    <row r="1740" spans="22:22" x14ac:dyDescent="0.25">
      <c r="V1740" s="90"/>
    </row>
    <row r="1741" spans="22:22" x14ac:dyDescent="0.25">
      <c r="V1741" s="90"/>
    </row>
    <row r="1742" spans="22:22" x14ac:dyDescent="0.25">
      <c r="V1742" s="90"/>
    </row>
    <row r="1743" spans="22:22" x14ac:dyDescent="0.25">
      <c r="V1743" s="90"/>
    </row>
    <row r="1744" spans="22:22" x14ac:dyDescent="0.25">
      <c r="V1744" s="90"/>
    </row>
    <row r="1745" spans="22:22" x14ac:dyDescent="0.25">
      <c r="V1745" s="90"/>
    </row>
    <row r="1746" spans="22:22" x14ac:dyDescent="0.25">
      <c r="V1746" s="90"/>
    </row>
    <row r="1747" spans="22:22" x14ac:dyDescent="0.25">
      <c r="V1747" s="90"/>
    </row>
    <row r="1748" spans="22:22" x14ac:dyDescent="0.25">
      <c r="V1748" s="90"/>
    </row>
    <row r="1749" spans="22:22" x14ac:dyDescent="0.25">
      <c r="V1749" s="90"/>
    </row>
    <row r="1750" spans="22:22" x14ac:dyDescent="0.25">
      <c r="V1750" s="90"/>
    </row>
    <row r="1751" spans="22:22" x14ac:dyDescent="0.25">
      <c r="V1751" s="90"/>
    </row>
    <row r="1752" spans="22:22" x14ac:dyDescent="0.25">
      <c r="V1752" s="90"/>
    </row>
    <row r="1753" spans="22:22" x14ac:dyDescent="0.25">
      <c r="V1753" s="90"/>
    </row>
    <row r="1754" spans="22:22" x14ac:dyDescent="0.25">
      <c r="V1754" s="90"/>
    </row>
    <row r="1755" spans="22:22" x14ac:dyDescent="0.25">
      <c r="V1755" s="90"/>
    </row>
    <row r="1756" spans="22:22" x14ac:dyDescent="0.25">
      <c r="V1756" s="90"/>
    </row>
    <row r="1757" spans="22:22" x14ac:dyDescent="0.25">
      <c r="V1757" s="90"/>
    </row>
    <row r="1758" spans="22:22" x14ac:dyDescent="0.25">
      <c r="V1758" s="90"/>
    </row>
    <row r="1759" spans="22:22" x14ac:dyDescent="0.25">
      <c r="V1759" s="90"/>
    </row>
    <row r="1760" spans="22:22" x14ac:dyDescent="0.25">
      <c r="V1760" s="90"/>
    </row>
    <row r="1761" spans="22:22" x14ac:dyDescent="0.25">
      <c r="V1761" s="90"/>
    </row>
    <row r="1762" spans="22:22" x14ac:dyDescent="0.25">
      <c r="V1762" s="90"/>
    </row>
    <row r="1763" spans="22:22" x14ac:dyDescent="0.25">
      <c r="V1763" s="90"/>
    </row>
    <row r="1764" spans="22:22" x14ac:dyDescent="0.25">
      <c r="V1764" s="90"/>
    </row>
    <row r="1765" spans="22:22" x14ac:dyDescent="0.25">
      <c r="V1765" s="90"/>
    </row>
    <row r="1766" spans="22:22" x14ac:dyDescent="0.25">
      <c r="V1766" s="90"/>
    </row>
    <row r="1767" spans="22:22" x14ac:dyDescent="0.25">
      <c r="V1767" s="90"/>
    </row>
    <row r="1768" spans="22:22" x14ac:dyDescent="0.25">
      <c r="V1768" s="90"/>
    </row>
    <row r="1769" spans="22:22" x14ac:dyDescent="0.25">
      <c r="V1769" s="90"/>
    </row>
    <row r="1770" spans="22:22" x14ac:dyDescent="0.25">
      <c r="V1770" s="90"/>
    </row>
    <row r="1771" spans="22:22" x14ac:dyDescent="0.25">
      <c r="V1771" s="90"/>
    </row>
    <row r="1772" spans="22:22" x14ac:dyDescent="0.25">
      <c r="V1772" s="90"/>
    </row>
    <row r="1773" spans="22:22" x14ac:dyDescent="0.25">
      <c r="V1773" s="90"/>
    </row>
    <row r="1774" spans="22:22" x14ac:dyDescent="0.25">
      <c r="V1774" s="90"/>
    </row>
    <row r="1775" spans="22:22" x14ac:dyDescent="0.25">
      <c r="V1775" s="90"/>
    </row>
    <row r="1776" spans="22:22" x14ac:dyDescent="0.25">
      <c r="V1776" s="90"/>
    </row>
    <row r="1777" spans="22:22" x14ac:dyDescent="0.25">
      <c r="V1777" s="90"/>
    </row>
    <row r="1778" spans="22:22" x14ac:dyDescent="0.25">
      <c r="V1778" s="90"/>
    </row>
    <row r="1779" spans="22:22" x14ac:dyDescent="0.25">
      <c r="V1779" s="90"/>
    </row>
    <row r="1780" spans="22:22" x14ac:dyDescent="0.25">
      <c r="V1780" s="90"/>
    </row>
    <row r="1781" spans="22:22" x14ac:dyDescent="0.25">
      <c r="V1781" s="90"/>
    </row>
    <row r="1782" spans="22:22" x14ac:dyDescent="0.25">
      <c r="V1782" s="90"/>
    </row>
    <row r="1783" spans="22:22" x14ac:dyDescent="0.25">
      <c r="V1783" s="90"/>
    </row>
    <row r="1784" spans="22:22" x14ac:dyDescent="0.25">
      <c r="V1784" s="90"/>
    </row>
    <row r="1785" spans="22:22" x14ac:dyDescent="0.25">
      <c r="V1785" s="90"/>
    </row>
    <row r="1786" spans="22:22" x14ac:dyDescent="0.25">
      <c r="V1786" s="90"/>
    </row>
    <row r="1787" spans="22:22" x14ac:dyDescent="0.25">
      <c r="V1787" s="90"/>
    </row>
    <row r="1788" spans="22:22" x14ac:dyDescent="0.25">
      <c r="V1788" s="90"/>
    </row>
    <row r="1789" spans="22:22" x14ac:dyDescent="0.25">
      <c r="V1789" s="90"/>
    </row>
    <row r="1790" spans="22:22" x14ac:dyDescent="0.25">
      <c r="V1790" s="90"/>
    </row>
    <row r="1791" spans="22:22" x14ac:dyDescent="0.25">
      <c r="V1791" s="90"/>
    </row>
    <row r="1792" spans="22:22" x14ac:dyDescent="0.25">
      <c r="V1792" s="90"/>
    </row>
    <row r="1793" spans="22:22" x14ac:dyDescent="0.25">
      <c r="V1793" s="90"/>
    </row>
    <row r="1794" spans="22:22" x14ac:dyDescent="0.25">
      <c r="V1794" s="90"/>
    </row>
    <row r="1795" spans="22:22" x14ac:dyDescent="0.25">
      <c r="V1795" s="90"/>
    </row>
    <row r="1796" spans="22:22" x14ac:dyDescent="0.25">
      <c r="V1796" s="90"/>
    </row>
    <row r="1797" spans="22:22" x14ac:dyDescent="0.25">
      <c r="V1797" s="90"/>
    </row>
    <row r="1798" spans="22:22" x14ac:dyDescent="0.25">
      <c r="V1798" s="90"/>
    </row>
    <row r="1799" spans="22:22" x14ac:dyDescent="0.25">
      <c r="V1799" s="90"/>
    </row>
    <row r="1800" spans="22:22" x14ac:dyDescent="0.25">
      <c r="V1800" s="90"/>
    </row>
    <row r="1801" spans="22:22" x14ac:dyDescent="0.25">
      <c r="V1801" s="90"/>
    </row>
    <row r="1802" spans="22:22" x14ac:dyDescent="0.25">
      <c r="V1802" s="90"/>
    </row>
    <row r="1803" spans="22:22" x14ac:dyDescent="0.25">
      <c r="V1803" s="90"/>
    </row>
    <row r="1804" spans="22:22" x14ac:dyDescent="0.25">
      <c r="V1804" s="90"/>
    </row>
    <row r="1805" spans="22:22" x14ac:dyDescent="0.25">
      <c r="V1805" s="90"/>
    </row>
    <row r="1806" spans="22:22" x14ac:dyDescent="0.25">
      <c r="V1806" s="90"/>
    </row>
    <row r="1807" spans="22:22" x14ac:dyDescent="0.25">
      <c r="V1807" s="90"/>
    </row>
    <row r="1808" spans="22:22" x14ac:dyDescent="0.25">
      <c r="V1808" s="90"/>
    </row>
    <row r="1809" spans="22:22" x14ac:dyDescent="0.25">
      <c r="V1809" s="90"/>
    </row>
    <row r="1810" spans="22:22" x14ac:dyDescent="0.25">
      <c r="V1810" s="90"/>
    </row>
    <row r="1811" spans="22:22" x14ac:dyDescent="0.25">
      <c r="V1811" s="90"/>
    </row>
    <row r="1812" spans="22:22" x14ac:dyDescent="0.25">
      <c r="V1812" s="90"/>
    </row>
    <row r="1813" spans="22:22" x14ac:dyDescent="0.25">
      <c r="V1813" s="90"/>
    </row>
    <row r="1814" spans="22:22" x14ac:dyDescent="0.25">
      <c r="V1814" s="90"/>
    </row>
    <row r="1815" spans="22:22" x14ac:dyDescent="0.25">
      <c r="V1815" s="90"/>
    </row>
    <row r="1816" spans="22:22" x14ac:dyDescent="0.25">
      <c r="V1816" s="90"/>
    </row>
    <row r="1817" spans="22:22" x14ac:dyDescent="0.25">
      <c r="V1817" s="90"/>
    </row>
    <row r="1818" spans="22:22" x14ac:dyDescent="0.25">
      <c r="V1818" s="90"/>
    </row>
    <row r="1819" spans="22:22" x14ac:dyDescent="0.25">
      <c r="V1819" s="90"/>
    </row>
    <row r="1820" spans="22:22" x14ac:dyDescent="0.25">
      <c r="V1820" s="90"/>
    </row>
    <row r="1821" spans="22:22" x14ac:dyDescent="0.25">
      <c r="V1821" s="90"/>
    </row>
    <row r="1822" spans="22:22" x14ac:dyDescent="0.25">
      <c r="V1822" s="90"/>
    </row>
    <row r="1823" spans="22:22" x14ac:dyDescent="0.25">
      <c r="V1823" s="90"/>
    </row>
    <row r="1824" spans="22:22" x14ac:dyDescent="0.25">
      <c r="V1824" s="90"/>
    </row>
    <row r="1825" spans="22:22" x14ac:dyDescent="0.25">
      <c r="V1825" s="90"/>
    </row>
    <row r="1826" spans="22:22" x14ac:dyDescent="0.25">
      <c r="V1826" s="90"/>
    </row>
    <row r="1827" spans="22:22" x14ac:dyDescent="0.25">
      <c r="V1827" s="90"/>
    </row>
    <row r="1828" spans="22:22" x14ac:dyDescent="0.25">
      <c r="V1828" s="90"/>
    </row>
    <row r="1829" spans="22:22" x14ac:dyDescent="0.25">
      <c r="V1829" s="90"/>
    </row>
    <row r="1830" spans="22:22" x14ac:dyDescent="0.25">
      <c r="V1830" s="90"/>
    </row>
    <row r="1831" spans="22:22" x14ac:dyDescent="0.25">
      <c r="V1831" s="90"/>
    </row>
    <row r="1832" spans="22:22" x14ac:dyDescent="0.25">
      <c r="V1832" s="90"/>
    </row>
    <row r="1833" spans="22:22" x14ac:dyDescent="0.25">
      <c r="V1833" s="90"/>
    </row>
    <row r="1834" spans="22:22" x14ac:dyDescent="0.25">
      <c r="V1834" s="90"/>
    </row>
    <row r="1835" spans="22:22" x14ac:dyDescent="0.25">
      <c r="V1835" s="90"/>
    </row>
    <row r="1836" spans="22:22" x14ac:dyDescent="0.25">
      <c r="V1836" s="90"/>
    </row>
    <row r="1837" spans="22:22" x14ac:dyDescent="0.25">
      <c r="V1837" s="90"/>
    </row>
    <row r="1838" spans="22:22" x14ac:dyDescent="0.25">
      <c r="V1838" s="90"/>
    </row>
    <row r="1839" spans="22:22" x14ac:dyDescent="0.25">
      <c r="V1839" s="90"/>
    </row>
    <row r="1840" spans="22:22" x14ac:dyDescent="0.25">
      <c r="V1840" s="90"/>
    </row>
    <row r="1841" spans="22:22" x14ac:dyDescent="0.25">
      <c r="V1841" s="90"/>
    </row>
    <row r="1842" spans="22:22" x14ac:dyDescent="0.25">
      <c r="V1842" s="90"/>
    </row>
    <row r="1843" spans="22:22" x14ac:dyDescent="0.25">
      <c r="V1843" s="90"/>
    </row>
    <row r="1844" spans="22:22" x14ac:dyDescent="0.25">
      <c r="V1844" s="90"/>
    </row>
    <row r="1845" spans="22:22" x14ac:dyDescent="0.25">
      <c r="V1845" s="90"/>
    </row>
    <row r="1846" spans="22:22" x14ac:dyDescent="0.25">
      <c r="V1846" s="90"/>
    </row>
    <row r="1847" spans="22:22" x14ac:dyDescent="0.25">
      <c r="V1847" s="90"/>
    </row>
    <row r="1848" spans="22:22" x14ac:dyDescent="0.25">
      <c r="V1848" s="90"/>
    </row>
    <row r="1849" spans="22:22" x14ac:dyDescent="0.25">
      <c r="V1849" s="90"/>
    </row>
    <row r="1850" spans="22:22" x14ac:dyDescent="0.25">
      <c r="V1850" s="90"/>
    </row>
    <row r="1851" spans="22:22" x14ac:dyDescent="0.25">
      <c r="V1851" s="90"/>
    </row>
    <row r="1852" spans="22:22" x14ac:dyDescent="0.25">
      <c r="V1852" s="90"/>
    </row>
    <row r="1853" spans="22:22" x14ac:dyDescent="0.25">
      <c r="V1853" s="90"/>
    </row>
    <row r="1854" spans="22:22" x14ac:dyDescent="0.25">
      <c r="V1854" s="90"/>
    </row>
    <row r="1855" spans="22:22" x14ac:dyDescent="0.25">
      <c r="V1855" s="90"/>
    </row>
    <row r="1856" spans="22:22" x14ac:dyDescent="0.25">
      <c r="V1856" s="90"/>
    </row>
    <row r="1857" spans="22:22" x14ac:dyDescent="0.25">
      <c r="V1857" s="90"/>
    </row>
    <row r="1858" spans="22:22" x14ac:dyDescent="0.25">
      <c r="V1858" s="90"/>
    </row>
    <row r="1859" spans="22:22" x14ac:dyDescent="0.25">
      <c r="V1859" s="90"/>
    </row>
    <row r="1860" spans="22:22" x14ac:dyDescent="0.25">
      <c r="V1860" s="90"/>
    </row>
    <row r="1861" spans="22:22" x14ac:dyDescent="0.25">
      <c r="V1861" s="90"/>
    </row>
    <row r="1862" spans="22:22" x14ac:dyDescent="0.25">
      <c r="V1862" s="90"/>
    </row>
    <row r="1863" spans="22:22" x14ac:dyDescent="0.25">
      <c r="V1863" s="90"/>
    </row>
    <row r="1864" spans="22:22" x14ac:dyDescent="0.25">
      <c r="V1864" s="90"/>
    </row>
    <row r="1865" spans="22:22" x14ac:dyDescent="0.25">
      <c r="V1865" s="90"/>
    </row>
    <row r="1866" spans="22:22" x14ac:dyDescent="0.25">
      <c r="V1866" s="90"/>
    </row>
    <row r="1867" spans="22:22" x14ac:dyDescent="0.25">
      <c r="V1867" s="90"/>
    </row>
    <row r="1868" spans="22:22" x14ac:dyDescent="0.25">
      <c r="V1868" s="90"/>
    </row>
    <row r="1869" spans="22:22" x14ac:dyDescent="0.25">
      <c r="V1869" s="90"/>
    </row>
    <row r="1870" spans="22:22" x14ac:dyDescent="0.25">
      <c r="V1870" s="90"/>
    </row>
    <row r="1871" spans="22:22" x14ac:dyDescent="0.25">
      <c r="V1871" s="90"/>
    </row>
    <row r="1872" spans="22:22" x14ac:dyDescent="0.25">
      <c r="V1872" s="90"/>
    </row>
    <row r="1873" spans="22:22" x14ac:dyDescent="0.25">
      <c r="V1873" s="90"/>
    </row>
    <row r="1874" spans="22:22" x14ac:dyDescent="0.25">
      <c r="V1874" s="90"/>
    </row>
    <row r="1875" spans="22:22" x14ac:dyDescent="0.25">
      <c r="V1875" s="90"/>
    </row>
    <row r="1876" spans="22:22" x14ac:dyDescent="0.25">
      <c r="V1876" s="90"/>
    </row>
    <row r="1877" spans="22:22" x14ac:dyDescent="0.25">
      <c r="V1877" s="90"/>
    </row>
    <row r="1878" spans="22:22" x14ac:dyDescent="0.25">
      <c r="V1878" s="90"/>
    </row>
    <row r="1879" spans="22:22" x14ac:dyDescent="0.25">
      <c r="V1879" s="90"/>
    </row>
    <row r="1880" spans="22:22" x14ac:dyDescent="0.25">
      <c r="V1880" s="90"/>
    </row>
    <row r="1881" spans="22:22" x14ac:dyDescent="0.25">
      <c r="V1881" s="90"/>
    </row>
    <row r="1882" spans="22:22" x14ac:dyDescent="0.25">
      <c r="V1882" s="90"/>
    </row>
    <row r="1883" spans="22:22" x14ac:dyDescent="0.25">
      <c r="V1883" s="90"/>
    </row>
    <row r="1884" spans="22:22" x14ac:dyDescent="0.25">
      <c r="V1884" s="90"/>
    </row>
    <row r="1885" spans="22:22" x14ac:dyDescent="0.25">
      <c r="V1885" s="90"/>
    </row>
    <row r="1886" spans="22:22" x14ac:dyDescent="0.25">
      <c r="V1886" s="90"/>
    </row>
    <row r="1887" spans="22:22" x14ac:dyDescent="0.25">
      <c r="V1887" s="90"/>
    </row>
    <row r="1888" spans="22:22" x14ac:dyDescent="0.25">
      <c r="V1888" s="90"/>
    </row>
    <row r="1889" spans="22:22" x14ac:dyDescent="0.25">
      <c r="V1889" s="90"/>
    </row>
    <row r="1890" spans="22:22" x14ac:dyDescent="0.25">
      <c r="V1890" s="90"/>
    </row>
    <row r="1891" spans="22:22" x14ac:dyDescent="0.25">
      <c r="V1891" s="90"/>
    </row>
    <row r="1892" spans="22:22" x14ac:dyDescent="0.25">
      <c r="V1892" s="90"/>
    </row>
    <row r="1893" spans="22:22" x14ac:dyDescent="0.25">
      <c r="V1893" s="90"/>
    </row>
  </sheetData>
  <mergeCells count="145">
    <mergeCell ref="A1:K1"/>
    <mergeCell ref="A2:K2"/>
    <mergeCell ref="A4:B4"/>
    <mergeCell ref="C4:D4"/>
    <mergeCell ref="H4:I4"/>
    <mergeCell ref="A6:B6"/>
    <mergeCell ref="C6:D6"/>
    <mergeCell ref="E6:F6"/>
    <mergeCell ref="G6:I6"/>
    <mergeCell ref="C8:E8"/>
    <mergeCell ref="H8:I8"/>
    <mergeCell ref="B10:K13"/>
    <mergeCell ref="A10:A13"/>
    <mergeCell ref="A15:A16"/>
    <mergeCell ref="B15:B16"/>
    <mergeCell ref="C15:C16"/>
    <mergeCell ref="D15:D16"/>
    <mergeCell ref="G23:J23"/>
    <mergeCell ref="A25:K25"/>
    <mergeCell ref="A29:B29"/>
    <mergeCell ref="C29:D29"/>
    <mergeCell ref="G29:I29"/>
    <mergeCell ref="A31:B31"/>
    <mergeCell ref="C31:I31"/>
    <mergeCell ref="A34:F34"/>
    <mergeCell ref="D35:E35"/>
    <mergeCell ref="D36:E36"/>
    <mergeCell ref="D37:E37"/>
    <mergeCell ref="D38:E38"/>
    <mergeCell ref="D39:E39"/>
    <mergeCell ref="D40:E40"/>
    <mergeCell ref="B43:C43"/>
    <mergeCell ref="D43:E43"/>
    <mergeCell ref="H43:I43"/>
    <mergeCell ref="B44:C44"/>
    <mergeCell ref="D44:E44"/>
    <mergeCell ref="B45:C45"/>
    <mergeCell ref="D45:E45"/>
    <mergeCell ref="B46:C46"/>
    <mergeCell ref="D46:E46"/>
    <mergeCell ref="B47:C47"/>
    <mergeCell ref="D47:E47"/>
    <mergeCell ref="B48:C48"/>
    <mergeCell ref="D48:E48"/>
    <mergeCell ref="B49:C49"/>
    <mergeCell ref="D49:E49"/>
    <mergeCell ref="C59:E59"/>
    <mergeCell ref="C60:E60"/>
    <mergeCell ref="C61:E61"/>
    <mergeCell ref="A64:K64"/>
    <mergeCell ref="A66:K66"/>
    <mergeCell ref="A68:K68"/>
    <mergeCell ref="A70:I70"/>
    <mergeCell ref="A72:K72"/>
    <mergeCell ref="A74:K74"/>
    <mergeCell ref="C76:D76"/>
    <mergeCell ref="H76:I76"/>
    <mergeCell ref="B79:D79"/>
    <mergeCell ref="E79:H79"/>
    <mergeCell ref="B80:D80"/>
    <mergeCell ref="B81:D81"/>
    <mergeCell ref="E81:H81"/>
    <mergeCell ref="B82:D82"/>
    <mergeCell ref="E82:H82"/>
    <mergeCell ref="B83:D83"/>
    <mergeCell ref="E83:H83"/>
    <mergeCell ref="B84:D84"/>
    <mergeCell ref="E84:H84"/>
    <mergeCell ref="B85:D85"/>
    <mergeCell ref="E85:H85"/>
    <mergeCell ref="B86:D86"/>
    <mergeCell ref="E86:H86"/>
    <mergeCell ref="B87:D87"/>
    <mergeCell ref="E87:H87"/>
    <mergeCell ref="B88:D88"/>
    <mergeCell ref="E88:H88"/>
    <mergeCell ref="B89:D89"/>
    <mergeCell ref="E89:H89"/>
    <mergeCell ref="B90:D90"/>
    <mergeCell ref="E90:H90"/>
    <mergeCell ref="B91:D91"/>
    <mergeCell ref="E91:H91"/>
    <mergeCell ref="B92:D92"/>
    <mergeCell ref="E92:H92"/>
    <mergeCell ref="B93:D93"/>
    <mergeCell ref="E93:H93"/>
    <mergeCell ref="B94:D94"/>
    <mergeCell ref="E94:H94"/>
    <mergeCell ref="B95:D95"/>
    <mergeCell ref="E95:H95"/>
    <mergeCell ref="B96:D96"/>
    <mergeCell ref="E96:H96"/>
    <mergeCell ref="B97:D97"/>
    <mergeCell ref="E97:H97"/>
    <mergeCell ref="B98:D98"/>
    <mergeCell ref="E98:H98"/>
    <mergeCell ref="B99:D99"/>
    <mergeCell ref="E99:H99"/>
    <mergeCell ref="B100:D100"/>
    <mergeCell ref="E100:H100"/>
    <mergeCell ref="B101:D101"/>
    <mergeCell ref="E101:H101"/>
    <mergeCell ref="B102:D102"/>
    <mergeCell ref="E102:H102"/>
    <mergeCell ref="B103:D103"/>
    <mergeCell ref="E103:H103"/>
    <mergeCell ref="B104:D104"/>
    <mergeCell ref="E104:H104"/>
    <mergeCell ref="B105:D105"/>
    <mergeCell ref="E105:H105"/>
    <mergeCell ref="B106:D106"/>
    <mergeCell ref="E106:H106"/>
    <mergeCell ref="B107:D107"/>
    <mergeCell ref="E107:H107"/>
    <mergeCell ref="B108:D108"/>
    <mergeCell ref="E108:H108"/>
    <mergeCell ref="B109:D109"/>
    <mergeCell ref="E109:H109"/>
    <mergeCell ref="B110:D110"/>
    <mergeCell ref="E110:H110"/>
    <mergeCell ref="B111:D111"/>
    <mergeCell ref="E111:H111"/>
    <mergeCell ref="B112:D112"/>
    <mergeCell ref="E112:H112"/>
    <mergeCell ref="B113:D113"/>
    <mergeCell ref="E113:H113"/>
    <mergeCell ref="B114:D114"/>
    <mergeCell ref="E114:H114"/>
    <mergeCell ref="B115:D115"/>
    <mergeCell ref="E115:H115"/>
    <mergeCell ref="B116:D116"/>
    <mergeCell ref="E116:H116"/>
    <mergeCell ref="B117:D117"/>
    <mergeCell ref="E117:H117"/>
    <mergeCell ref="A119:K120"/>
    <mergeCell ref="A121:K121"/>
    <mergeCell ref="B123:C123"/>
    <mergeCell ref="H123:I123"/>
    <mergeCell ref="A126:I127"/>
    <mergeCell ref="A131:I131"/>
    <mergeCell ref="B135:C135"/>
    <mergeCell ref="G135:H135"/>
    <mergeCell ref="B136:C136"/>
    <mergeCell ref="A139:K141"/>
    <mergeCell ref="J142:K143"/>
  </mergeCells>
  <dataValidations count="15">
    <dataValidation type="list" allowBlank="1" showInputMessage="1" showErrorMessage="1" sqref="AC1">
      <formula1>$AC$1:$AC$6</formula1>
    </dataValidation>
    <dataValidation type="list" allowBlank="1" showInputMessage="1" promptTitle="PERÍODO DESDE" prompt="Seleccione un valor de la lista de opciones" showErrorMessage="1" sqref="C30:F30">
      <formula1>$V$182:$V$1893</formula1>
    </dataValidation>
    <dataValidation type="list" allowBlank="1" showInputMessage="1" promptTitle="TIPO INFORME" prompt="Seleccione un valor de la lista de opciones" showErrorMessage="1" sqref="E129">
      <formula1>$V$178:$V$179</formula1>
    </dataValidation>
    <dataValidation type="list" allowBlank="1" showInputMessage="1" showErrorMessage="1" sqref="E147:F147">
      <formula1>$M$148:$M$150</formula1>
    </dataValidation>
    <dataValidation type="list" allowBlank="1" showInputMessage="1" showErrorMessage="1" sqref="E15:E16">
      <formula1>$AC$1:$AC$6</formula1>
    </dataValidation>
    <dataValidation type="list" allowBlank="1" showInputMessage="1" showErrorMessage="1" sqref="E18:E22">
      <formula1>$AC$1:$AC$6</formula1>
    </dataValidation>
    <dataValidation type="list" allowBlank="1" showInputMessage="1" promptTitle="PERÍODO DESDE" prompt="Seleccione un valor de la lista de opciones" showErrorMessage="1" sqref="F29:F30">
      <formula1>$V$182:$V$1893</formula1>
    </dataValidation>
    <dataValidation type="list" allowBlank="1" showInputMessage="1" showErrorMessage="1" sqref="F63">
      <formula1>$AC$2:$AC$5</formula1>
    </dataValidation>
    <dataValidation type="list" allowBlank="1" showInputMessage="1" showErrorMessage="1" sqref="G4">
      <formula1>$AC$1:$AC$1</formula1>
    </dataValidation>
    <dataValidation type="list" allowBlank="1" showInputMessage="1" showErrorMessage="1" sqref="G44">
      <formula1>$AC$1:$AC$6</formula1>
    </dataValidation>
    <dataValidation type="list" allowBlank="1" showInputMessage="1" showErrorMessage="1" sqref="G45:G49">
      <formula1>$AC$2:$AC$5</formula1>
    </dataValidation>
    <dataValidation type="list" allowBlank="1" showInputMessage="1" showErrorMessage="1" sqref="G6:I6">
      <formula1>$AE$2:$AE$11</formula1>
    </dataValidation>
    <dataValidation type="list" allowBlank="1" showInputMessage="1" showErrorMessage="1" sqref="G8">
      <formula1>$AC$1:$AC$1</formula1>
    </dataValidation>
    <dataValidation type="list" allowBlank="1" showInputMessage="1" promptTitle="PERÍODO HASTA" prompt="Seleccione un valor de la lista de opciones" showErrorMessage="1" sqref="H30:K30">
      <formula1>$V$182:$V$1893</formula1>
    </dataValidation>
    <dataValidation type="list" allowBlank="1" showInputMessage="1" showErrorMessage="1" sqref="J29:K29">
      <formula1>$BU$37:$BU$767</formula1>
    </dataValidation>
  </dataValidations>
  <pageMargins left="0.7086614173228347" right="0.7086614173228347" top="0.7480314960629921" bottom="0.7480314960629921" header="0.31496062992125984" footer="0.31496062992125984"/>
  <pageSetup orientation="landscape" horizontalDpi="4294967295" verticalDpi="4294967295" scale="52" fitToWidth="1" fitToHeight="0" firstPageNumber="1" useFirstPageNumber="1" copies="1"/>
  <drawing r:id="rId3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GFR-FO-17 </vt:lpstr>
      <vt:lpstr>Instrucciones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jvasquez</dc:creator>
  <dc:title/>
  <dc:subject/>
  <dc:description/>
  <cp:keywords/>
  <cp:category/>
  <cp:lastModifiedBy>Victor⚽ Cordoba</cp:lastModifiedBy>
  <cp:lastPrinted>2026-02-27T15:20:32Z</cp:lastPrinted>
  <cp:contentStatus/>
  <dcterms:created xsi:type="dcterms:W3CDTF">2009-05-08T19:51:16Z</dcterms:created>
  <dcterms:modified xsi:type="dcterms:W3CDTF">2026-06-12T16:25:54Z</dcterms:modified>
</cp:coreProperties>
</file>