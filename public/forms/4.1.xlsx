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vagov-my.sharepoint.com/personal/melissa_bustamante_viva_gov_co/Documents/Escritorio/"/>
    </mc:Choice>
  </mc:AlternateContent>
  <xr:revisionPtr revIDLastSave="0" documentId="8_{343FB1C1-155D-414D-912A-AA1AC3A89933}" xr6:coauthVersionLast="47" xr6:coauthVersionMax="47" xr10:uidLastSave="{00000000-0000-0000-0000-000000000000}"/>
  <bookViews>
    <workbookView xWindow="-28920" yWindow="-1185" windowWidth="29040" windowHeight="15720" tabRatio="601" xr2:uid="{557E5FDB-90D0-47A8-8FFC-6C55D6D36F62}"/>
  </bookViews>
  <sheets>
    <sheet name="GTH-FO-52 V.05" sheetId="1" r:id="rId1"/>
    <sheet name="Hoja3" sheetId="4" r:id="rId2"/>
    <sheet name="Hoja1" sheetId="2" state="hidden" r:id="rId3"/>
    <sheet name="Hoja2" sheetId="3" state="hidden" r:id="rId4"/>
  </sheets>
  <definedNames>
    <definedName name="_xlnm.Print_Area" localSheetId="0">'GTH-FO-52 V.05'!$D$1:$Q$80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J32" i="1"/>
  <c r="J39" i="1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O110" i="2"/>
  <c r="M110" i="2"/>
  <c r="O109" i="2"/>
  <c r="M109" i="2"/>
  <c r="O108" i="2"/>
  <c r="M108" i="2"/>
  <c r="O107" i="2"/>
  <c r="M107" i="2"/>
  <c r="O106" i="2"/>
  <c r="M106" i="2"/>
  <c r="O105" i="2"/>
  <c r="M105" i="2"/>
  <c r="M104" i="2"/>
  <c r="M103" i="2"/>
  <c r="M102" i="2"/>
  <c r="M101" i="2"/>
  <c r="M100" i="2"/>
  <c r="M99" i="2"/>
  <c r="M98" i="2"/>
  <c r="M97" i="2"/>
  <c r="O96" i="2"/>
  <c r="M96" i="2"/>
  <c r="O95" i="2"/>
  <c r="M95" i="2"/>
  <c r="O94" i="2"/>
  <c r="M94" i="2"/>
  <c r="O93" i="2"/>
  <c r="M93" i="2"/>
  <c r="O92" i="2"/>
  <c r="M92" i="2"/>
  <c r="O91" i="2"/>
  <c r="M91" i="2"/>
  <c r="O90" i="2"/>
  <c r="M90" i="2"/>
  <c r="O89" i="2"/>
  <c r="M89" i="2"/>
  <c r="O88" i="2"/>
  <c r="M88" i="2"/>
  <c r="O87" i="2"/>
  <c r="M87" i="2"/>
  <c r="O86" i="2"/>
  <c r="M86" i="2"/>
  <c r="O85" i="2"/>
  <c r="M85" i="2"/>
  <c r="O84" i="2"/>
  <c r="M84" i="2"/>
  <c r="O83" i="2"/>
  <c r="M83" i="2"/>
  <c r="O82" i="2"/>
  <c r="M82" i="2"/>
  <c r="O81" i="2"/>
  <c r="M81" i="2"/>
  <c r="O80" i="2"/>
  <c r="M80" i="2"/>
  <c r="O79" i="2"/>
  <c r="M79" i="2"/>
  <c r="O78" i="2"/>
  <c r="M78" i="2"/>
  <c r="O77" i="2"/>
  <c r="M77" i="2"/>
  <c r="O76" i="2"/>
  <c r="M76" i="2"/>
  <c r="O75" i="2"/>
  <c r="M75" i="2"/>
  <c r="O74" i="2"/>
  <c r="M74" i="2"/>
  <c r="O73" i="2"/>
  <c r="M73" i="2"/>
  <c r="O72" i="2"/>
  <c r="M72" i="2"/>
  <c r="O71" i="2"/>
  <c r="M71" i="2"/>
  <c r="O70" i="2"/>
  <c r="M70" i="2"/>
  <c r="O69" i="2"/>
  <c r="M69" i="2"/>
  <c r="O68" i="2"/>
  <c r="M68" i="2"/>
  <c r="O67" i="2"/>
  <c r="M67" i="2"/>
  <c r="O66" i="2"/>
  <c r="M66" i="2"/>
  <c r="O65" i="2"/>
  <c r="M65" i="2"/>
  <c r="O64" i="2"/>
  <c r="M64" i="2"/>
  <c r="O63" i="2"/>
  <c r="M63" i="2"/>
  <c r="O62" i="2"/>
  <c r="M62" i="2"/>
  <c r="O61" i="2"/>
  <c r="M61" i="2"/>
  <c r="O60" i="2"/>
  <c r="M60" i="2"/>
  <c r="O59" i="2"/>
  <c r="M59" i="2"/>
  <c r="O58" i="2"/>
  <c r="M58" i="2"/>
  <c r="O57" i="2"/>
  <c r="M57" i="2"/>
  <c r="O56" i="2"/>
  <c r="M56" i="2"/>
  <c r="O55" i="2"/>
  <c r="M55" i="2"/>
  <c r="O54" i="2"/>
  <c r="M54" i="2"/>
  <c r="O53" i="2"/>
  <c r="M53" i="2"/>
  <c r="O52" i="2"/>
  <c r="M52" i="2"/>
  <c r="O51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2" i="2"/>
</calcChain>
</file>

<file path=xl/sharedStrings.xml><?xml version="1.0" encoding="utf-8"?>
<sst xmlns="http://schemas.openxmlformats.org/spreadsheetml/2006/main" count="1941" uniqueCount="702">
  <si>
    <t>1.ACTIVACION ENCARGO DE COMISIÓN</t>
  </si>
  <si>
    <t>PERIODO:</t>
  </si>
  <si>
    <t>16/30</t>
  </si>
  <si>
    <t>Fecha de entrega del Encargo de comisión:</t>
  </si>
  <si>
    <t>EXTEMPORANEO</t>
  </si>
  <si>
    <t>No. Documento de identificación:</t>
  </si>
  <si>
    <t>Nombres y Apellidos:</t>
  </si>
  <si>
    <t>Nivel:</t>
  </si>
  <si>
    <t>Área:</t>
  </si>
  <si>
    <t>+</t>
  </si>
  <si>
    <t>Coordinador que programa la Comisión:</t>
  </si>
  <si>
    <t>Modalidad de contrato funcionario</t>
  </si>
  <si>
    <t>VINCULADO</t>
  </si>
  <si>
    <t>2.LISTA DE ENCARGO DE COMISIÓN</t>
  </si>
  <si>
    <t>ID</t>
  </si>
  <si>
    <t>Convenio/Contrato</t>
  </si>
  <si>
    <t>Destino</t>
  </si>
  <si>
    <t>Otros Destinos</t>
  </si>
  <si>
    <t>Zona</t>
  </si>
  <si>
    <t>Fecha de salida</t>
  </si>
  <si>
    <t>Fecha de regreso</t>
  </si>
  <si>
    <t>Pernocta</t>
  </si>
  <si>
    <t>Días de comisión</t>
  </si>
  <si>
    <t>Días de Pernocta</t>
  </si>
  <si>
    <t>Tarifa por pernocta</t>
  </si>
  <si>
    <t xml:space="preserve">Tarifa con regreso el mismo dia </t>
  </si>
  <si>
    <t xml:space="preserve">Tipo de trasporte </t>
  </si>
  <si>
    <t>Valor a Pagar de viáticos</t>
  </si>
  <si>
    <t>06999</t>
  </si>
  <si>
    <t xml:space="preserve">Total a pagar </t>
  </si>
  <si>
    <t xml:space="preserve">Total de encargos </t>
  </si>
  <si>
    <t>3.OBSERVACIONES Y RECOMENDACIONES</t>
  </si>
  <si>
    <t>Validador de condiciones seguras</t>
  </si>
  <si>
    <t>Nombre comisionado:</t>
  </si>
  <si>
    <t>Firma</t>
  </si>
  <si>
    <t>Firma comisionado</t>
  </si>
  <si>
    <t>Nombre de quien ordenó la comisión de servicios:</t>
  </si>
  <si>
    <t>+++++++++++++++++++</t>
  </si>
  <si>
    <r>
      <rPr>
        <b/>
        <sz val="11"/>
        <color rgb="FF000000"/>
        <rFont val="Arial"/>
        <family val="2"/>
      </rPr>
      <t>Importante recordar:</t>
    </r>
    <r>
      <rPr>
        <sz val="11"/>
        <color indexed="8"/>
        <rFont val="Arial"/>
        <family val="2"/>
      </rPr>
      <t xml:space="preserve">
°Adjuntar soportes justificativos de gastos de viaje para su reconocimiento en comisiones de servicios.
°Legalizar las comisiones máximo en 2 días hábiles tras su finalización de su ultimo encargo.
°Incluir informe de cumplido de la comisión.
</t>
    </r>
  </si>
  <si>
    <t>Código: GTH-FO-52
Versión: 05</t>
  </si>
  <si>
    <t>CÓDIGO DPTO</t>
  </si>
  <si>
    <t>CÓDIGO REGIÓN</t>
  </si>
  <si>
    <t>CÓDIGO ZONA</t>
  </si>
  <si>
    <t>CÓDIGO DE MUNICIPIO</t>
  </si>
  <si>
    <t>Municipios</t>
  </si>
  <si>
    <t xml:space="preserve">Sub región </t>
  </si>
  <si>
    <t>Distancia estimada (km)</t>
  </si>
  <si>
    <t>Tiempo estimado</t>
  </si>
  <si>
    <t>Valor desayuno</t>
  </si>
  <si>
    <t>Valor almuerzo</t>
  </si>
  <si>
    <t>Hidratación</t>
  </si>
  <si>
    <t>Total día</t>
  </si>
  <si>
    <t>Definición sin pernocta</t>
  </si>
  <si>
    <t>Definición con pernocta</t>
  </si>
  <si>
    <t>Recomendaciones de Aspectos generales en SST</t>
  </si>
  <si>
    <t xml:space="preserve">Recomendaciones por distancia </t>
  </si>
  <si>
    <t xml:space="preserve">Recomendaciones por riesgo público </t>
  </si>
  <si>
    <t xml:space="preserve">Teléfono de emergencia </t>
  </si>
  <si>
    <t>SR06</t>
  </si>
  <si>
    <t>Z14</t>
  </si>
  <si>
    <t>San Jerónimo</t>
  </si>
  <si>
    <t>Occidente</t>
  </si>
  <si>
    <t>31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</si>
  <si>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Portar camisas corporativas manga larga para el sol, pava o gorra, botas de seguridad, jeans, repelente, bloqueador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Clima cálido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su jefe inmediato, no se  auto mediques, ni aceptes recomendaciones del personal farmacéutico.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 el contacto con mascotas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buena hidratación, en lo posible que las bebidas sean siempre embotelladas.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Se debe tener precaución al caminar por terrenos irregulares ya que se pueden sufrir caídas a diferente nivel.
</t>
    </r>
    <r>
      <rPr>
        <b/>
        <sz val="12"/>
        <color rgb="FF000000"/>
        <rFont val="Arial"/>
        <family val="2"/>
      </rPr>
      <t>7</t>
    </r>
    <r>
      <rPr>
        <sz val="12"/>
        <color rgb="FF000000"/>
        <rFont val="Arial"/>
        <family val="2"/>
      </rPr>
      <t xml:space="preserve">. 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</si>
  <si>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4x4 y GPS.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vehículo.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Llevar dinero en efectivo (en territorio, no siempre reciben transferencias o QR).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Si tomas medicamentos recuerda llevarlos contigo. </t>
    </r>
  </si>
  <si>
    <r>
      <t xml:space="preserve">Se recomienda: 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.Validar con el enlace del municipio el estado actual de  vías y  orden público  .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Confirmar si se encuentra los propietarios de las viviendas a visitar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en las veredas los vehículos deben de transitar con las ventanas abajo, a una velocidad moderada por vías angostas.                                       
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No transitar por las vías en la noche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</si>
  <si>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3235057984-6048580096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</si>
  <si>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 xml:space="preserve">Medellín </t>
  </si>
  <si>
    <t>Valle de Aburrá</t>
  </si>
  <si>
    <t>2 minutos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</si>
  <si>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buena hidratación.                                                        
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tu jefe inmediato, no te automediques, ni aceptes recomendaciones del personal farmacéutico.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Evitar el contacto con las mascotas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</si>
  <si>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con GPS.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vehículo.
</t>
    </r>
    <r>
      <rPr>
        <sz val="12"/>
        <color rgb="FF000000"/>
        <rFont val="Arial"/>
        <family val="2"/>
      </rPr>
      <t xml:space="preserve">
</t>
    </r>
    <r>
      <rPr>
        <b/>
        <sz val="12"/>
        <color rgb="FF000000"/>
        <rFont val="Arial"/>
        <family val="2"/>
      </rPr>
      <t/>
    </r>
  </si>
  <si>
    <r>
      <t xml:space="preserve">Se recomienda: 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enlace municipio el estado de las vías  en la zona rural, por cierre o vía en mal estado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Confirmar si se encuentra los propietarios de las viviendas a visitar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se presenta algún hostigamiento de orden publico, reportar a la línea segura de viajes para tomar medidas preventivas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Salir con tiempo por la congestión del trafico en  la cuidad
 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</si>
  <si>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5126634 // 5166640 // 123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</si>
  <si>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SR01</t>
  </si>
  <si>
    <t>Z02</t>
  </si>
  <si>
    <t>Bello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</si>
  <si>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buena hidratación.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acompañados de un funcionario de la alcaldía con el fin que pueda direccionarlos a lugar del mejoramientos y sea reconocido por los habitantes del lugar                                    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tu jefe inmediato, no te automediques, ni aceptes recomendaciones del personal farmacéutico.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Evitar el contacto con las mascotas.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</si>
  <si>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con GPS.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vehículo.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Llevar dinero en efectivo (en las veredas y/o corregimiento, no siempre reciben transferencias o QR). 
</t>
    </r>
    <r>
      <rPr>
        <b/>
        <sz val="12"/>
        <color rgb="FF000000"/>
        <rFont val="Arial"/>
        <family val="2"/>
      </rPr>
      <t/>
    </r>
  </si>
  <si>
    <r>
      <t xml:space="preserve">Se recomienda: 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enlace municipio el estado de las vías  en la zona rural, por cierre o vía en mal estado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Confirmar si se encuentra los propietarios de las viviendas a visitar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se presenta algún hostigamiento de imprevisto, reportar a la línea segura de viajes para tomar medidas.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Salir con tiempo por la congestión del trafico en  la cuidad
 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</si>
  <si>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3165218786-6044440119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</si>
  <si>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Z03</t>
  </si>
  <si>
    <t>Envigado</t>
  </si>
  <si>
    <t>8 minutos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</si>
  <si>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buena hidratación.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acompañados de un funcionario de la alcaldía con el fin que pueda direccionarlos a lugar del mejoramientos y sea reconocido por los habitantes del lugar                                    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tu jefe inmediato, no te automediques, ni aceptes recomendaciones del personal farmacéutico.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Evitar el contacto con las mascotas.
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. Si visitas zonas rurales e identificas que necesitas Elementos de protección personal (EPP) adicionales, solicitarlos al área SST. 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</si>
  <si>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6043327474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</si>
  <si>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Itagüí</t>
  </si>
  <si>
    <t>5 minutos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</si>
  <si>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buena hidratación.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acompañados de un funcionario de la alcaldía con el fin que pueda direccionarlos a lugar del mejoramientos y sea reconocido por los habitantes del lugar                                    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tu jefe inmediato, no te auto mediques, ni aceptes recomendaciones del personal farmacéutico.
4. Si visitas zonas rurales e identificas que necesitas Elementos de protección personal (EPP) adicionales, solicitarlos al área SST. </t>
    </r>
  </si>
  <si>
    <r>
      <t xml:space="preserve">Se recomienda: 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enlace municipio el estado de las vías  en la zona rural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Confirmar si se encuentra los propietarios de las viviendas a visitar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se presenta algún hostigamiento de imprevisto, reportar a la línea segura de viajes. 
 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</si>
  <si>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6043726560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</si>
  <si>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Sabaneta</t>
  </si>
  <si>
    <t>9 minutos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</si>
  <si>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buena hidratación.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acompañados de un funcionario de la alcaldía con el fin que pueda direccionarlos a lugar del mejoramientos y sea reconocido por los habitantes del lugar                                                             
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tu jefe inmediato, no te auto mediques, ni aceptes recomendaciones del personal farmacéutico.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Evitar el contacto con las mascotas.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</si>
  <si>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 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enlace municipio el estado de las vías  en la zona rural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Confirmar si se encuentra los propietarios de las viviendas a visitar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se presenta algún hostigamiento de imprevisto, reportar a la línea segura de viajes para tomar . 
 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</si>
  <si>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6043228800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</si>
  <si>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La Estrella</t>
  </si>
  <si>
    <t>14 minutos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</si>
  <si>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buena hidratación.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acompañados de un funcionario de la alcaldía con el fin que pueda direccionarlos a lugar del mejoramientos y sea reconocido por los habitantes del lugar             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tu jefe inmediato, no te auto mediques, ni aceptes recomendaciones del personal farmacéutico.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Evitar el contacto con las mascotas.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</si>
  <si>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6044446773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</si>
  <si>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Copacabana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</si>
  <si>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buena hidratación.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acompañados de un funcionario de la alcaldía con el fin que pueda direccionarlos a lugar del mejoramientos y sea reconocido por los habitantes del lugar             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tu jefe inmediato, no te auto mediques, ni aceptes recomendaciones del personal farmacéutico.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</si>
  <si>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6044015110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</si>
  <si>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Caldas</t>
  </si>
  <si>
    <t>17 minutos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</si>
  <si>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buena hidratación.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acompañados de un funcionario de la alcaldía con el fin que pueda direccionarlos a lugar del mejoramientos y sea reconocido por los habitantes del lugar                                                             
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tu jefe inmediato, no te auto mediques, ni aceptes recomendaciones del personal farmacéutico.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Evitar el contacto con las mascotas.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</si>
  <si>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6043036681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</si>
  <si>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Girardota</t>
  </si>
  <si>
    <t>21 minutos</t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</si>
  <si>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6042891957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</si>
  <si>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SR07</t>
  </si>
  <si>
    <t>Z18</t>
  </si>
  <si>
    <t>Guarne</t>
  </si>
  <si>
    <t>Oriente</t>
  </si>
  <si>
    <t>24 minutos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</si>
  <si>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buena hidratación.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acompañados de un funcionario de la alcaldía con el fin que pueda direccionarlos a lugar del mejoramientos y sea reconocido por los habitantes del lugar             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tu jefe inmediato, no te auto mediques, ni aceptes recomendaciones del personal farmacéutico.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Evitar el contacto con las mascotas.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</si>
  <si>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604 4067273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</si>
  <si>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Armenia</t>
  </si>
  <si>
    <t>1 horas 1 minutos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</si>
  <si>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buena hidratación.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acompañados de un funcionario de la alcaldía con el fin que pueda direccionarlos a lugar del mejoramientos y sea reconocido por los habitantes del lugar             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tu jefe inmediato, no te auto mediques, ni aceptes recomendaciones del personal farmacéutico.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Evitar el contacto con las mascotas . 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Si visitas zonas rurales e identificas que necesitas Elementos de protección personal (EPP) adicionales, solicitarlos al área SST. 
</t>
    </r>
  </si>
  <si>
    <r>
      <t xml:space="preserve">Se recomienda: 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enlace municipio el estado de las vías  en la zona rural, por cierre o vía en mal estado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Confirmar si se encuentra los propietarios de las viviendas a visitar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Salir con tiempo por la congestión del trafico en  la cuidad
 </t>
    </r>
  </si>
  <si>
    <t>SR08</t>
  </si>
  <si>
    <t>Z19</t>
  </si>
  <si>
    <t>Angelópolis</t>
  </si>
  <si>
    <t>Suroeste</t>
  </si>
  <si>
    <t>58 minutos</t>
  </si>
  <si>
    <r>
      <t xml:space="preserve">Se recomienda: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hidratación, protección solar y hidratación.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 con el enlace del municipio o coordinador por parte del contratista.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 Si pernocta, al terminar las actividades laborales, evitar estar en lugares alejados del lugar de descanso o del equipo de comisión.      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Tener precaución al caminar por terrenos irregulares lo cual puede generar caídas a diferente nivel.                                                      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el contacto con  mascotas.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te auto mediques, ni aceptes recomendaciones del personal farmacéutico.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Clima templado.
</t>
    </r>
    <r>
      <rPr>
        <b/>
        <sz val="12"/>
        <color rgb="FF000000"/>
        <rFont val="Arial"/>
        <family val="2"/>
      </rPr>
      <t>8</t>
    </r>
    <r>
      <rPr>
        <sz val="12"/>
        <color rgb="FF000000"/>
        <rFont val="Arial"/>
        <family val="2"/>
      </rPr>
      <t xml:space="preserve">. Si visitas zonas rurales e identificas que necesitas Elementos de protección personal (EPP) adicionales, solicitarlos al área SST. 
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</si>
  <si>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 4x4 y GPS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Llevar alimentos, snacks y líquidos de ser necesario en caso de una eventualidad en la vía.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dinero en efectivo (en territorio, no siempre reciben transferencias o QR). 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tomas medicamentos recuerda llevarlos contigo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</si>
  <si>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323 359 88 47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</si>
  <si>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El Retiro</t>
  </si>
  <si>
    <t>48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</si>
  <si>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Estar debidamente identificados (carné, camisas corporativas manga larga, pava o gorra, botas de seguridad, jeans, repelente, bloqueador y  buena hidratación).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Clima templado.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Evitar el contacto con  mascotas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Tener precaución al caminar por terrenos irregulares lo cual puede generar caídas al mismo nivel.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desplazamientos por rutas desconocidas o no convencionales.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Evitar consumir agua de la llave esta no es potable.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presenta una condición de salud repórtala al área de seguridad y salud en el trabajo y al jefe inmediato, no se auto mediques, ni aceptes recomendaciones del personal farmacéutico.
</t>
    </r>
    <r>
      <rPr>
        <b/>
        <sz val="12"/>
        <color rgb="FF000000"/>
        <rFont val="Arial"/>
        <family val="2"/>
      </rPr>
      <t>8</t>
    </r>
    <r>
      <rPr>
        <sz val="12"/>
        <color rgb="FF000000"/>
        <rFont val="Arial"/>
        <family val="2"/>
      </rPr>
      <t xml:space="preserve">. 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</si>
  <si>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theme="1"/>
        <rFont val="Arial"/>
        <family val="2"/>
      </rPr>
      <t xml:space="preserve">
1.</t>
    </r>
    <r>
      <rPr>
        <sz val="12"/>
        <color theme="1"/>
        <rFont val="Arial"/>
        <family val="2"/>
      </rPr>
      <t xml:space="preserve"> Para el desplazamiento por las vías del municipio se recomienda camioneta 4X4 con GPS.    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Llevar alimentos, snacks y líquidos en caso de una eventualidad en la vía. 
</t>
    </r>
    <r>
      <rPr>
        <b/>
        <sz val="12"/>
        <color theme="1"/>
        <rFont val="Arial"/>
        <family val="2"/>
      </rPr>
      <t xml:space="preserve">3. </t>
    </r>
    <r>
      <rPr>
        <sz val="12"/>
        <color theme="1"/>
        <rFont val="Arial"/>
        <family val="2"/>
      </rPr>
      <t xml:space="preserve"> Llevar dinero en efectivo (en territorio no siempre reciben transferencias o QR). 
</t>
    </r>
    <r>
      <rPr>
        <b/>
        <sz val="12"/>
        <color theme="1"/>
        <rFont val="Arial"/>
        <family val="2"/>
      </rPr>
      <t>4.</t>
    </r>
    <r>
      <rPr>
        <sz val="12"/>
        <color theme="1"/>
        <rFont val="Arial"/>
        <family val="2"/>
      </rPr>
      <t xml:space="preserve"> Los conductores deben permanecer cerca del personal en comisión y estar identificados al igual que el vehículo.</t>
    </r>
  </si>
  <si>
    <r>
      <t xml:space="preserve">Se recomienda 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Validar  con el enlace del municipio la situación de orden público y las  vías de las veredas.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Comunicarse  al numeral #767 para obtener información sobre el estado actual de las vías.</t>
    </r>
  </si>
  <si>
    <r>
      <rPr>
        <b/>
        <sz val="12"/>
        <color theme="1"/>
        <rFont val="Arial"/>
        <family val="2"/>
      </rPr>
      <t xml:space="preserve">1.Línea de bomberos </t>
    </r>
    <r>
      <rPr>
        <sz val="12"/>
        <color theme="1"/>
        <rFont val="Arial"/>
        <family val="2"/>
      </rPr>
      <t xml:space="preserve">
3136232057
</t>
    </r>
    <r>
      <rPr>
        <b/>
        <sz val="12"/>
        <color theme="1"/>
        <rFont val="Arial"/>
        <family val="2"/>
      </rPr>
      <t>2.Linea de viajes seguros</t>
    </r>
    <r>
      <rPr>
        <sz val="12"/>
        <color theme="1"/>
        <rFont val="Arial"/>
        <family val="2"/>
      </rPr>
      <t xml:space="preserve"> 
3162729715
</t>
    </r>
  </si>
  <si>
    <t>SR05</t>
  </si>
  <si>
    <t>Z11</t>
  </si>
  <si>
    <t>San Pedro de los Milagros</t>
  </si>
  <si>
    <t>Norte</t>
  </si>
  <si>
    <t>44 minutos</t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</si>
  <si>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Estar debidamente identificados (carné, camisas corporativas manga larga, chaqueta para el frio, pava o gorra, botas de seguridad, jeans, repelente, bloqueador y  buena hidratación).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Clima frio. 
</t>
    </r>
    <r>
      <rPr>
        <b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. Evitar el contacto con  mascotas 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 xml:space="preserve">Tener precaución al caminar por terrenos irregulares lo cual puede generar caídas al mismo nivel.
</t>
    </r>
    <r>
      <rPr>
        <b/>
        <sz val="12"/>
        <color theme="1"/>
        <rFont val="Arial"/>
        <family val="2"/>
      </rPr>
      <t>5.</t>
    </r>
    <r>
      <rPr>
        <sz val="12"/>
        <color theme="1"/>
        <rFont val="Arial"/>
        <family val="2"/>
      </rPr>
      <t xml:space="preserve"> Evitar desplazamientos por rutas desconocidas o no convencionales.
</t>
    </r>
    <r>
      <rPr>
        <b/>
        <sz val="12"/>
        <color theme="1"/>
        <rFont val="Arial"/>
        <family val="2"/>
      </rPr>
      <t xml:space="preserve">6. </t>
    </r>
    <r>
      <rPr>
        <sz val="12"/>
        <color theme="1"/>
        <rFont val="Arial"/>
        <family val="2"/>
      </rPr>
      <t xml:space="preserve">Evitar consumir agua de la llave esta no es potable.
</t>
    </r>
    <r>
      <rPr>
        <b/>
        <sz val="12"/>
        <color theme="1"/>
        <rFont val="Arial"/>
        <family val="2"/>
      </rPr>
      <t>7.</t>
    </r>
    <r>
      <rPr>
        <sz val="12"/>
        <color theme="1"/>
        <rFont val="Arial"/>
        <family val="2"/>
      </rPr>
      <t xml:space="preserve"> Si presenta una condición de salud repórtala al área de seguridad y salud en el trabajo y al jefe inmediato, no se auto mediques, ni aceptes recomendaciones del personal farmacéutico.
</t>
    </r>
    <r>
      <rPr>
        <b/>
        <sz val="12"/>
        <color theme="1"/>
        <rFont val="Arial"/>
        <family val="2"/>
      </rPr>
      <t>8.</t>
    </r>
    <r>
      <rPr>
        <sz val="12"/>
        <color theme="1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</si>
  <si>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Tener precaución en la vía por fallas geológicas
</t>
    </r>
    <r>
      <rPr>
        <b/>
        <sz val="12"/>
        <color theme="1"/>
        <rFont val="Arial"/>
        <family val="2"/>
      </rPr>
      <t xml:space="preserve">2. </t>
    </r>
    <r>
      <rPr>
        <sz val="12"/>
        <color theme="1"/>
        <rFont val="Arial"/>
        <family val="2"/>
      </rPr>
      <t xml:space="preserve">Llevar alimentos, snacks y líquidos en caso de una eventualidad en la vía. 
</t>
    </r>
    <r>
      <rPr>
        <b/>
        <sz val="12"/>
        <color theme="1"/>
        <rFont val="Arial"/>
        <family val="2"/>
      </rPr>
      <t xml:space="preserve">3. </t>
    </r>
    <r>
      <rPr>
        <sz val="12"/>
        <color theme="1"/>
        <rFont val="Arial"/>
        <family val="2"/>
      </rPr>
      <t xml:space="preserve">Llevar dinero en efectivo (en territorio, no siempre reciben transferencias o QR). 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 xml:space="preserve">Si tomas medicamentos, llévalos contigo.
</t>
    </r>
    <r>
      <rPr>
        <b/>
        <sz val="12"/>
        <color theme="1"/>
        <rFont val="Arial"/>
        <family val="2"/>
      </rPr>
      <t xml:space="preserve">5. </t>
    </r>
    <r>
      <rPr>
        <sz val="12"/>
        <color theme="1"/>
        <rFont val="Arial"/>
        <family val="2"/>
      </rPr>
      <t xml:space="preserve">Para el desplazamiento por las vías del municipio se recomienda camioneta 4X4 con GPS.                                                                    
</t>
    </r>
  </si>
  <si>
    <r>
      <t xml:space="preserve">Se recomienda: 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Validar  con el enlace del municipio la situación de orden público.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Comunicarse  al numeral #767 para obtener información sobre el estado actual de las vías. 
</t>
    </r>
    <r>
      <rPr>
        <b/>
        <sz val="12"/>
        <color theme="1"/>
        <rFont val="Arial"/>
        <family val="2"/>
      </rPr>
      <t xml:space="preserve">3. </t>
    </r>
    <r>
      <rPr>
        <sz val="12"/>
        <color theme="1"/>
        <rFont val="Arial"/>
        <family val="2"/>
      </rPr>
      <t xml:space="preserve">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</si>
  <si>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 xml:space="preserve">
1. Línea de bomberos</t>
    </r>
    <r>
      <rPr>
        <sz val="12"/>
        <color rgb="FF000000"/>
        <rFont val="Arial"/>
        <family val="2"/>
      </rPr>
      <t xml:space="preserve"> 
8686055 - 3137568899
</t>
    </r>
    <r>
      <rPr>
        <b/>
        <sz val="12"/>
        <color rgb="FF000000"/>
        <rFont val="Arial"/>
        <family val="2"/>
      </rPr>
      <t>2. Línea de viajes seguros</t>
    </r>
    <r>
      <rPr>
        <sz val="12"/>
        <color rgb="FF000000"/>
        <rFont val="Arial"/>
        <family val="2"/>
      </rPr>
      <t xml:space="preserve">  
3162729715. </t>
    </r>
  </si>
  <si>
    <t>Amagá</t>
  </si>
  <si>
    <t>40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</si>
  <si>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Portar camisas corporativas manga larga para el sol, pava o gorra, botas de seguridad, jeans, repelente, bloqueador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Clima cálido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su jefe inmediato, no se  auto mediques, ni aceptes recomendaciones del personal farmacéutico.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Evitar el contacto con mascotas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buena hidratacion,en lo posible que las bebidas sean siempre embotelladas.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Se debe tener precaución al caminar por terrenos irregulares (veredas) ya que se pueden sufrir caídas a diferente nivel.
</t>
    </r>
    <r>
      <rPr>
        <b/>
        <sz val="12"/>
        <color rgb="FF000000"/>
        <rFont val="Arial"/>
        <family val="2"/>
      </rPr>
      <t xml:space="preserve">7. </t>
    </r>
    <r>
      <rPr>
        <sz val="12"/>
        <color rgb="FF000000"/>
        <rFont val="Arial"/>
        <family val="2"/>
      </rPr>
      <t xml:space="preserve">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</si>
  <si>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antes de iniciar la comisión con el enlace del municipio la situación de orden público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Por presencia de grupos al margen de la ley,  no se  debe transitar entre los municipios  Concordia - Betulia  y  Urrao- Betulia  después de las 6:00 p.m. si no es posible la salida antes  de esta hora,  se sugiere  pernota en el municipio, ya que empieza a ver presencia de estos grupos en las vías. 
</t>
    </r>
    <r>
      <rPr>
        <b/>
        <sz val="12"/>
        <color rgb="FF000000"/>
        <rFont val="Arial"/>
        <family val="2"/>
      </rPr>
      <t xml:space="preserve">3. Se sugiere: </t>
    </r>
    <r>
      <rPr>
        <sz val="12"/>
        <color rgb="FF000000"/>
        <rFont val="Arial"/>
        <family val="2"/>
      </rPr>
      <t xml:space="preserve">En caso de encontrarse con grupos armados acatar sus indicaciones, responder solo lo preguntado y no hacer uso del celular durante la conversación con los mismos. 
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</si>
  <si>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</si>
  <si>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Barbosa</t>
  </si>
  <si>
    <t>34 minutos</t>
  </si>
  <si>
    <t>Ebéjico</t>
  </si>
  <si>
    <t>56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</si>
  <si>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Portar camisas corporativas manga larga para el sol, pava o gorra, botas de seguridad, jeans, repelente, bloqueador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Clima cálido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su jefe inmediato, no se  auto mediques, ni aceptes recomendaciones del personal farmacéutico.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 el contacto con mascotas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buena hidratacion,en lo posible que las bebidas sean siempre embotelladas.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Se debe tener precaución al caminar por terrenos irregulares ya que se pueden sufrir caídas a diferente nivel.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</si>
  <si>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Estar atentos a la vía ya que hay algunos tramos en muy mal estado por fallas geológicas.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Camioneta 4x4 y GPS.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vehículo.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Llevar dinero en efectivo (en territorio, no siempre reciben transferencias o QR). 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Si tomas medicamentos recuerda llevarlos contigo. 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 Llevar comida o snack para el camino y buena hidratación </t>
    </r>
  </si>
  <si>
    <r>
      <t xml:space="preserve">Se recomienda: 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.Validar con el enlace del municipio el estado actual de  vías y  orden público  .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Confirmar si se encuentra los propietarios de las viviendas a visitar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en las veredas los vehículos deben de transitar con las ventanas abajo, a una velocidad moderada por vías angostas.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No transitar por las vías en la noche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</si>
  <si>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3127439410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</si>
  <si>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La Ceja del tambo</t>
  </si>
  <si>
    <t>57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</si>
  <si>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Estar debidamente identificados (carné, camisas corporativas manga larga, pava o gorra, botas de seguridad, jeans, repelente, bloqueador y  buena hidratación).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Clima templado.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Evitar el contacto con  mascotas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Tener precaución al caminar por terrenos irregulares lo cual puede generar caídas al mismo nivel.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desplazamientos por rutas desconocidas o no convencionales.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Evitar consumir agua de la llave esta no es potable.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presenta una condición de salud repórtala al área de seguridad y salud en el trabajo y al jefe inmediato, no se auto mediques, ni aceptes recomendaciones del personal farmacéutico.
</t>
    </r>
    <r>
      <rPr>
        <b/>
        <sz val="12"/>
        <color rgb="FF000000"/>
        <rFont val="Arial"/>
        <family val="2"/>
      </rPr>
      <t xml:space="preserve">8. </t>
    </r>
    <r>
      <rPr>
        <sz val="12"/>
        <color rgb="FF000000"/>
        <rFont val="Arial"/>
        <family val="2"/>
      </rPr>
      <t xml:space="preserve">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</si>
  <si>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theme="1"/>
        <rFont val="Arial"/>
        <family val="2"/>
      </rPr>
      <t xml:space="preserve">1. </t>
    </r>
    <r>
      <rPr>
        <sz val="12"/>
        <color theme="1"/>
        <rFont val="Arial"/>
        <family val="2"/>
      </rPr>
      <t xml:space="preserve">Para el desplazamiento por las vías del municipio se recomienda camioneta 4X4 con GPS.    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Llevar alimentos, snacks y líquidos en caso de una eventualidad en la vía. 
</t>
    </r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  Llevar dinero en efectivo (en territorio no siempre reciben transferencias o QR). 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>Los conductores deben permanecer cerca del personal en comisión y estar identificados al igual que el vehículo.</t>
    </r>
  </si>
  <si>
    <t>Marinilla</t>
  </si>
  <si>
    <t>41 minutos</t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</si>
  <si>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Para el desplazamiento por las vías del municipio se recomienda camioneta 4X4 con GPS.    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Llevar alimentos, snacks y líquidos en caso de una eventualidad en la vía. 
</t>
    </r>
    <r>
      <rPr>
        <b/>
        <sz val="12"/>
        <color theme="1"/>
        <rFont val="Arial"/>
        <family val="2"/>
      </rPr>
      <t xml:space="preserve">3. </t>
    </r>
    <r>
      <rPr>
        <sz val="12"/>
        <color theme="1"/>
        <rFont val="Arial"/>
        <family val="2"/>
      </rPr>
      <t xml:space="preserve"> Llevar dinero en efectivo (en territorio no siempre reciben transferencias o QR). 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>Los conductores deben permanecer cerca del personal en comisión y estar identificados al igual que el vehículo.</t>
    </r>
  </si>
  <si>
    <r>
      <rPr>
        <b/>
        <sz val="12"/>
        <color theme="1"/>
        <rFont val="Arial"/>
        <family val="2"/>
      </rPr>
      <t xml:space="preserve">1.Línea de bomberos </t>
    </r>
    <r>
      <rPr>
        <sz val="12"/>
        <color theme="1"/>
        <rFont val="Arial"/>
        <family val="2"/>
      </rPr>
      <t xml:space="preserve">
3128323188 -  3128323188
</t>
    </r>
    <r>
      <rPr>
        <b/>
        <sz val="12"/>
        <color theme="1"/>
        <rFont val="Arial"/>
        <family val="2"/>
      </rPr>
      <t>2.Linea de viajes seguros</t>
    </r>
    <r>
      <rPr>
        <sz val="12"/>
        <color theme="1"/>
        <rFont val="Arial"/>
        <family val="2"/>
      </rPr>
      <t xml:space="preserve"> 
3162729715
</t>
    </r>
  </si>
  <si>
    <t>Don Matías</t>
  </si>
  <si>
    <t>47 minutos</t>
  </si>
  <si>
    <r>
      <t xml:space="preserve">Se recomienda:
</t>
    </r>
    <r>
      <rPr>
        <b/>
        <sz val="12"/>
        <color theme="1"/>
        <rFont val="Arial"/>
        <family val="2"/>
      </rPr>
      <t xml:space="preserve">1. </t>
    </r>
    <r>
      <rPr>
        <sz val="12"/>
        <color theme="1"/>
        <rFont val="Arial"/>
        <family val="2"/>
      </rPr>
      <t xml:space="preserve">Llevar alimentos, snacks y líquidos en caso de una eventualidad en la vía. 
</t>
    </r>
    <r>
      <rPr>
        <b/>
        <sz val="12"/>
        <color theme="1"/>
        <rFont val="Arial"/>
        <family val="2"/>
      </rPr>
      <t xml:space="preserve">2. </t>
    </r>
    <r>
      <rPr>
        <sz val="12"/>
        <color theme="1"/>
        <rFont val="Arial"/>
        <family val="2"/>
      </rPr>
      <t xml:space="preserve">Llevar dinero en efectivo (en territorio, no siempre reciben transferencias o QR). 
</t>
    </r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 Si tomas medicamentos, llévalos contigo.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 xml:space="preserve">Para el desplazamiento por las vías del municipio se recomienda camioneta 4X4 con GPS.                                                                    
</t>
    </r>
  </si>
  <si>
    <r>
      <t xml:space="preserve">Se recomienda: 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Validar  con el enlace del municipio la situación de orden público.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Comunicarse  al numeral #767 para obtener información sobre el estado actual de las vías. 
</t>
    </r>
    <r>
      <rPr>
        <b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.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</si>
  <si>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 xml:space="preserve">
1. Línea de bomberos</t>
    </r>
    <r>
      <rPr>
        <sz val="12"/>
        <color rgb="FF000000"/>
        <rFont val="Arial"/>
        <family val="2"/>
      </rPr>
      <t xml:space="preserve"> 
3116234162 - 3232934969
</t>
    </r>
    <r>
      <rPr>
        <b/>
        <sz val="12"/>
        <color rgb="FF000000"/>
        <rFont val="Arial"/>
        <family val="2"/>
      </rPr>
      <t>2. Línea de viajes seguros</t>
    </r>
    <r>
      <rPr>
        <sz val="12"/>
        <color rgb="FF000000"/>
        <rFont val="Arial"/>
        <family val="2"/>
      </rPr>
      <t xml:space="preserve">  
3162729715. </t>
    </r>
  </si>
  <si>
    <t>Sopetrán</t>
  </si>
  <si>
    <t>49 minutos</t>
  </si>
  <si>
    <r>
      <t xml:space="preserve">Se recomienda: 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.Validar con el enlace del municipio el estado actual de  vías y  orden público  .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Confirmar si se encuentra los propietarios de las viviendas a visitar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en las veredas los vehículos deben de transitar con las ventanas abajo, a una velocidad moderada por vías angostas.                                        
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No transitar por las vías en la noche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</si>
  <si>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3217793877-6048543007 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</si>
  <si>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San Vicente Ferrer</t>
  </si>
  <si>
    <t>54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</si>
  <si>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Estar debidamente identificados (carné, camisas corporativas manga larga, chaqueta para el frio, pava o gorra, botas de seguridad, jeans, repelente, bloqueador y  buena hidratación).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Clima frio.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Evitar el contacto con  mascotas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Tener precaución al caminar por terrenos irregulares lo cual puede generar caídas al mismo nivel.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desplazamientos por rutas desconocidas o no convencionales.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Evitar consumir agua de la llave esta no es potable.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presenta una condición de salud repórtala al área de seguridad y salud en el trabajo y al jefe inmediato, no se auto mediques, ni aceptes recomendaciones del personal farmacéutico.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</si>
  <si>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rPr>
        <b/>
        <sz val="12"/>
        <color theme="1"/>
        <rFont val="Arial"/>
        <family val="2"/>
      </rPr>
      <t xml:space="preserve">1.Línea de bomberos </t>
    </r>
    <r>
      <rPr>
        <sz val="12"/>
        <color theme="1"/>
        <rFont val="Arial"/>
        <family val="2"/>
      </rPr>
      <t xml:space="preserve">
3218629709 - 3013974911
</t>
    </r>
    <r>
      <rPr>
        <b/>
        <sz val="12"/>
        <color theme="1"/>
        <rFont val="Arial"/>
        <family val="2"/>
      </rPr>
      <t>2.Linea de viajes seguros</t>
    </r>
    <r>
      <rPr>
        <sz val="12"/>
        <color theme="1"/>
        <rFont val="Arial"/>
        <family val="2"/>
      </rPr>
      <t xml:space="preserve"> 
3162729715
</t>
    </r>
  </si>
  <si>
    <t>Entrerríos</t>
  </si>
  <si>
    <r>
      <t xml:space="preserve">Se recomienda:
</t>
    </r>
    <r>
      <rPr>
        <b/>
        <sz val="12"/>
        <color theme="1"/>
        <rFont val="Arial"/>
        <family val="2"/>
      </rPr>
      <t xml:space="preserve">1. </t>
    </r>
    <r>
      <rPr>
        <sz val="12"/>
        <color theme="1"/>
        <rFont val="Arial"/>
        <family val="2"/>
      </rPr>
      <t xml:space="preserve">Llevar alimentos, snacks y líquidos en caso de una eventualidad en la vía. 
</t>
    </r>
    <r>
      <rPr>
        <b/>
        <sz val="12"/>
        <color theme="1"/>
        <rFont val="Arial"/>
        <family val="2"/>
      </rPr>
      <t xml:space="preserve">2. </t>
    </r>
    <r>
      <rPr>
        <sz val="12"/>
        <color theme="1"/>
        <rFont val="Arial"/>
        <family val="2"/>
      </rPr>
      <t xml:space="preserve">Llevar dinero en efectivo (en territorio, no siempre reciben transferencias o QR). 
</t>
    </r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 Si tomas medicamentos, llévalos contigo.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 xml:space="preserve">Para el desplazamiento por las vías del municipio se recomienda camioneta 4X4 con GPS.                                                                    
5. Tener precaución en la vía por fallas geológicas </t>
    </r>
  </si>
  <si>
    <r>
      <rPr>
        <b/>
        <sz val="12"/>
        <color rgb="FF000000"/>
        <rFont val="Arial"/>
        <family val="2"/>
      </rPr>
      <t xml:space="preserve">
1. Línea de bomberos
</t>
    </r>
    <r>
      <rPr>
        <sz val="12"/>
        <color rgb="FF000000"/>
        <rFont val="Arial"/>
        <family val="2"/>
      </rPr>
      <t xml:space="preserve"> (4) 8670411 - 3104137493
</t>
    </r>
    <r>
      <rPr>
        <b/>
        <sz val="12"/>
        <color rgb="FF000000"/>
        <rFont val="Arial"/>
        <family val="2"/>
      </rPr>
      <t>2. Línea de viajes seguros</t>
    </r>
    <r>
      <rPr>
        <sz val="12"/>
        <color rgb="FF000000"/>
        <rFont val="Arial"/>
        <family val="2"/>
      </rPr>
      <t xml:space="preserve">  
3162729715. </t>
    </r>
  </si>
  <si>
    <t>Z22</t>
  </si>
  <si>
    <t>Santa Bárbara</t>
  </si>
  <si>
    <t>1 horas 8 minutos</t>
  </si>
  <si>
    <r>
      <t xml:space="preserve">
Se recomienda: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hidratación, protección solar y hidratación.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 con el enlace del municipio o coordinador por parte del contratista.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 Si pernocta, al terminar las actividades laborales, evitar estar en lugares alejados del lugar de descanso o del equipo de comisión.      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Tener precaución al caminar por terrenos irregulares lo cual puede generar caídas a diferente nivel.                                                      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el contacto con  mascotas.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te auto mediques, ni aceptes recomendaciones del personal farmacéutico.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Clima frio.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</si>
  <si>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t>Montebello</t>
  </si>
  <si>
    <t>1 horas 15 minutos</t>
  </si>
  <si>
    <r>
      <t xml:space="preserve">
Se recomienda: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hidratación, protección solar y hidratación.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 con el enlace del municipio o coordinador por parte del contratista.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 Si pernocta, al terminar las actividades laborales, evitar estar en lugares alejados del lugar de descanso o del equipo de comisión.      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Tener precaución al caminar por terrenos irregulares lo cual puede generar caídas a diferente nivel.                                                      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el contacto con  mascotas.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te auto mediques, ni aceptes recomendaciones del personal farmacéutico.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Clima frio.
</t>
    </r>
    <r>
      <rPr>
        <b/>
        <sz val="12"/>
        <color rgb="FF000000"/>
        <rFont val="Arial"/>
        <family val="2"/>
      </rPr>
      <t xml:space="preserve">8. </t>
    </r>
    <r>
      <rPr>
        <sz val="12"/>
        <color rgb="FF000000"/>
        <rFont val="Arial"/>
        <family val="2"/>
      </rPr>
      <t xml:space="preserve">Si visitas zonas rurales e identificas que necesitas Elementos de protección personal (EPP) adicionales, solicitarlos al área SST. 
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</si>
  <si>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3127918144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</si>
  <si>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Fredonia</t>
  </si>
  <si>
    <t>1 horas 19 minutos</t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</si>
  <si>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3148160458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</si>
  <si>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Titiribí</t>
  </si>
  <si>
    <t>1 horas 12 minutos</t>
  </si>
  <si>
    <r>
      <t xml:space="preserve">Se recomienda: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hidratación, protección solar y hidratación.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 con el enlace del municipio o coordinador por parte del contratista.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 Si pernocta, al terminar las actividades laborales, evitar estar en lugares alejados del lugar de descanso o del equipo de comisión.      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Tener precaución al caminar por terrenos irregulares lo cual puede generar caídas a diferente nivel.                                                      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el contacto con  mascotas.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te auto mediques, ni aceptes recomendaciones del personal farmacéutico.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Clima frio.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</si>
  <si>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3103972600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</si>
  <si>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Venecia</t>
  </si>
  <si>
    <r>
      <t xml:space="preserve">Se recomienda: 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.Validar con el enlace del municipio el estado actual de  vías y  orden público por  paros mineros o camioneros   .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Confirmar si se encuentra los propietarios de las viviendas a visitar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en las veredas los vehículos deben de transitar con las ventanas abajo, a una velocidad moderada por vías angostas.                                       
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No transitar por las vías en la noche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</si>
  <si>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3116784003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</si>
  <si>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El Santuario</t>
  </si>
  <si>
    <t>52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</si>
  <si>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Estar debidamente identificados (carné, camisas corporativas manga larga, pava o gorra, botas de seguridad, jeans, repelente, bloqueador y  buena hidratación).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Clima templado.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Evitar el contacto con  mascotas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Tener precaución al caminar por terrenos irregulares lo cual puede generar caídas al mismo nivel.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desplazamientos por rutas desconocidas o no convencionales.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Evitar consumir agua de la llave esta no es potable.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presenta una condición de salud repórtala al área de seguridad y salud en el trabajo y al jefe inmediato, no se auto mediques, ni aceptes recomendaciones del personal farmacéutico.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</si>
  <si>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rPr>
        <b/>
        <sz val="12"/>
        <color theme="1"/>
        <rFont val="Arial"/>
        <family val="2"/>
      </rPr>
      <t xml:space="preserve">1.Línea de bomberos </t>
    </r>
    <r>
      <rPr>
        <sz val="12"/>
        <color theme="1"/>
        <rFont val="Arial"/>
        <family val="2"/>
      </rPr>
      <t xml:space="preserve">
5465589 - 5463726
3103920903 -  3117856820
</t>
    </r>
    <r>
      <rPr>
        <b/>
        <sz val="12"/>
        <color theme="1"/>
        <rFont val="Arial"/>
        <family val="2"/>
      </rPr>
      <t>2.Linea de viajes seguros</t>
    </r>
    <r>
      <rPr>
        <sz val="12"/>
        <color theme="1"/>
        <rFont val="Arial"/>
        <family val="2"/>
      </rPr>
      <t xml:space="preserve"> 
3162729715
</t>
    </r>
  </si>
  <si>
    <t>Z16</t>
  </si>
  <si>
    <t>Concepción</t>
  </si>
  <si>
    <t>1 horas 18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</si>
  <si>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Estar debidamente identificados (carné, camisas corporativas manga larga, pava o gorra, botas de seguridad, jeans, repelente, bloqueador y  buena hidratación).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Clima Cálido.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Evitar el contacto con  mascotas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Tener precaución al caminar por terrenos irregulares lo cual puede generar caídas al mismo nivel.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desplazamientos por rutas desconocidas o no convencionales.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Evitar consumir agua de la llave esta no es potable.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presenta una condición de salud repórtala al área de seguridad y salud en el trabajo y al jefe inmediato, no se auto mediques, ni aceptes recomendaciones del personal farmacéutico.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</si>
  <si>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Para el desplazamiento por las vías del municipio se recomienda camioneta 4X4 con GPS.    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Llevar alimentos, snacks y líquidos en caso de una eventualidad en la vía. 
</t>
    </r>
    <r>
      <rPr>
        <b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.Tener en cuenta que actualmente se encuentran en  arreglos de las  vías. 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 xml:space="preserve">Los conductores deben permanecer cerca del personal en comisión y estar identificados al igual que el vehículo.
</t>
    </r>
    <r>
      <rPr>
        <b/>
        <sz val="12"/>
        <color theme="1"/>
        <rFont val="Arial"/>
        <family val="2"/>
      </rPr>
      <t xml:space="preserve">5.  </t>
    </r>
    <r>
      <rPr>
        <sz val="12"/>
        <color theme="1"/>
        <rFont val="Arial"/>
        <family val="2"/>
      </rPr>
      <t>Llevar dinero en efectivo (en territorio no siempre reciben transferencias o QR).</t>
    </r>
  </si>
  <si>
    <r>
      <rPr>
        <b/>
        <sz val="12"/>
        <color theme="1"/>
        <rFont val="Arial"/>
        <family val="2"/>
      </rPr>
      <t xml:space="preserve">1.Línea de bomberos </t>
    </r>
    <r>
      <rPr>
        <sz val="12"/>
        <color theme="1"/>
        <rFont val="Arial"/>
        <family val="2"/>
      </rPr>
      <t xml:space="preserve">
314 8223216 
</t>
    </r>
    <r>
      <rPr>
        <b/>
        <sz val="12"/>
        <color theme="1"/>
        <rFont val="Arial"/>
        <family val="2"/>
      </rPr>
      <t>2.Linea de viajes seguros</t>
    </r>
    <r>
      <rPr>
        <sz val="12"/>
        <color theme="1"/>
        <rFont val="Arial"/>
        <family val="2"/>
      </rPr>
      <t xml:space="preserve"> 
3162729715
</t>
    </r>
  </si>
  <si>
    <t>La Unión</t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</si>
  <si>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Para el desplazamiento por las vías del municipio se recomienda camioneta 4X4 con GPS.    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Llevar alimentos, snacks y líquidos en caso de una eventualidad en la vía. 
</t>
    </r>
    <r>
      <rPr>
        <b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.Tener en cuenta que actualmente que se encuentran en  arreglos de las  vías. 
</t>
    </r>
    <r>
      <rPr>
        <b/>
        <sz val="12"/>
        <color theme="1"/>
        <rFont val="Arial"/>
        <family val="2"/>
      </rPr>
      <t>4.</t>
    </r>
    <r>
      <rPr>
        <sz val="12"/>
        <color theme="1"/>
        <rFont val="Arial"/>
        <family val="2"/>
      </rPr>
      <t xml:space="preserve"> Llevar dinero en efectivo (en territorio no siempre reciben transferencias o QR). 
</t>
    </r>
    <r>
      <rPr>
        <b/>
        <sz val="12"/>
        <color theme="1"/>
        <rFont val="Arial"/>
        <family val="2"/>
      </rPr>
      <t>5.</t>
    </r>
    <r>
      <rPr>
        <sz val="12"/>
        <color theme="1"/>
        <rFont val="Arial"/>
        <family val="2"/>
      </rPr>
      <t xml:space="preserve"> Los conductores deben permanecer cerca del personal en comisión y estar identificados al igual que el vehículo.</t>
    </r>
  </si>
  <si>
    <r>
      <rPr>
        <b/>
        <sz val="12"/>
        <color theme="1"/>
        <rFont val="Arial"/>
        <family val="2"/>
      </rPr>
      <t xml:space="preserve">1.Línea de bomberos </t>
    </r>
    <r>
      <rPr>
        <sz val="12"/>
        <color theme="1"/>
        <rFont val="Arial"/>
        <family val="2"/>
      </rPr>
      <t xml:space="preserve">
5561200
</t>
    </r>
    <r>
      <rPr>
        <b/>
        <sz val="12"/>
        <color theme="1"/>
        <rFont val="Arial"/>
        <family val="2"/>
      </rPr>
      <t>2.Linea de viajes seguros</t>
    </r>
    <r>
      <rPr>
        <sz val="12"/>
        <color theme="1"/>
        <rFont val="Arial"/>
        <family val="2"/>
      </rPr>
      <t xml:space="preserve"> 
3162729715
</t>
    </r>
  </si>
  <si>
    <t>El Peñol</t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</si>
  <si>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Para el desplazamiento por las vías del municipio se recomienda camioneta 4X4 con GPS.    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Llevar alimentos, snacks y líquidos en caso de una eventualidad en la vía. 
</t>
    </r>
    <r>
      <rPr>
        <b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.Tener en cuenta que actualmente se encuentran en  arreglos de las vías. 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 xml:space="preserve">Tener precaución en la vía al ingresar al municipio por caída de banca.
</t>
    </r>
    <r>
      <rPr>
        <b/>
        <sz val="12"/>
        <color theme="1"/>
        <rFont val="Arial"/>
        <family val="2"/>
      </rPr>
      <t xml:space="preserve">5. </t>
    </r>
    <r>
      <rPr>
        <sz val="12"/>
        <color theme="1"/>
        <rFont val="Arial"/>
        <family val="2"/>
      </rPr>
      <t xml:space="preserve">Llevar dinero en efectivo (en territorio no siempre reciben transferencias o QR). </t>
    </r>
  </si>
  <si>
    <r>
      <rPr>
        <b/>
        <sz val="12"/>
        <color theme="1"/>
        <rFont val="Arial"/>
        <family val="2"/>
      </rPr>
      <t xml:space="preserve">1.Línea de bomberos </t>
    </r>
    <r>
      <rPr>
        <sz val="12"/>
        <color theme="1"/>
        <rFont val="Arial"/>
        <family val="2"/>
      </rPr>
      <t xml:space="preserve">
3206441875 - 3206441875
</t>
    </r>
    <r>
      <rPr>
        <b/>
        <sz val="12"/>
        <color theme="1"/>
        <rFont val="Arial"/>
        <family val="2"/>
      </rPr>
      <t>2.Linea de viajes seguros</t>
    </r>
    <r>
      <rPr>
        <sz val="12"/>
        <color theme="1"/>
        <rFont val="Arial"/>
        <family val="2"/>
      </rPr>
      <t xml:space="preserve"> 
3162729715
</t>
    </r>
  </si>
  <si>
    <t>Belmira</t>
  </si>
  <si>
    <t>1 horas 31 minutos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</si>
  <si>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Estar debidamente identificados (carné, camisas corporativas manga larga, chaqueta para el frio, pava o gorra, botas de seguridad, jeans, repelente, bloqueador y  buena hidratación).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Siempre se deben dirigir a las veredas o corregimientos acompañados de un funcionario de la alcaldía.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Evitar estar en lugares alejados del lugar de descanso.  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El clima es frio.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se auto medique, ni acepte recomendaciones del personal farmacéutico. 
</t>
    </r>
    <r>
      <rPr>
        <b/>
        <sz val="12"/>
        <color rgb="FF000000"/>
        <rFont val="Arial"/>
        <family val="2"/>
      </rPr>
      <t xml:space="preserve">7. </t>
    </r>
    <r>
      <rPr>
        <sz val="12"/>
        <color rgb="FF000000"/>
        <rFont val="Arial"/>
        <family val="2"/>
      </rPr>
      <t xml:space="preserve">Si visitas zonas rurales e identificas que necesitas Elementos de protección personal (EPP) adicionales, solicitarlos al área SST. 
. </t>
    </r>
  </si>
  <si>
    <r>
      <t xml:space="preserve">Se recomienda:
</t>
    </r>
    <r>
      <rPr>
        <b/>
        <sz val="12"/>
        <color theme="1"/>
        <rFont val="Arial"/>
        <family val="2"/>
      </rPr>
      <t xml:space="preserve">1. </t>
    </r>
    <r>
      <rPr>
        <sz val="12"/>
        <color theme="1"/>
        <rFont val="Arial"/>
        <family val="2"/>
      </rPr>
      <t xml:space="preserve">Llevar alimentos, snacks y líquidos en caso de una eventualidad en la vía. 
</t>
    </r>
    <r>
      <rPr>
        <b/>
        <sz val="12"/>
        <color theme="1"/>
        <rFont val="Arial"/>
        <family val="2"/>
      </rPr>
      <t xml:space="preserve">2. </t>
    </r>
    <r>
      <rPr>
        <sz val="12"/>
        <color theme="1"/>
        <rFont val="Arial"/>
        <family val="2"/>
      </rPr>
      <t xml:space="preserve">Llevar dinero en efectivo (en territorio, no siempre reciben transferencias o QR). 
</t>
    </r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 Si tomas medicamentos, llévalos contigo.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 xml:space="preserve">Para el desplazamiento por las vías del municipio se recomienda camioneta 4X4 con GPS.                                                                    
</t>
    </r>
    <r>
      <rPr>
        <b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 xml:space="preserve">. Tener precaución en la vía por fallas geológicas </t>
    </r>
  </si>
  <si>
    <r>
      <t xml:space="preserve">Se recomienda: 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Validar  con el enlace del municipio la situación de orden público.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Comunicarse  al numeral #767 para obtener información sobre el estado actual de las vías. 
</t>
    </r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</si>
  <si>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 xml:space="preserve">
1. Línea de bomberos</t>
    </r>
    <r>
      <rPr>
        <sz val="12"/>
        <color rgb="FF000000"/>
        <rFont val="Arial"/>
        <family val="2"/>
      </rPr>
      <t xml:space="preserve"> 
8674030 - 3228387990
</t>
    </r>
    <r>
      <rPr>
        <b/>
        <sz val="12"/>
        <color rgb="FF000000"/>
        <rFont val="Arial"/>
        <family val="2"/>
      </rPr>
      <t>2. Línea de viajes seguros</t>
    </r>
    <r>
      <rPr>
        <sz val="12"/>
        <color rgb="FF000000"/>
        <rFont val="Arial"/>
        <family val="2"/>
      </rPr>
      <t xml:space="preserve">  
3162729715. </t>
    </r>
  </si>
  <si>
    <t>SR04</t>
  </si>
  <si>
    <t>Z05</t>
  </si>
  <si>
    <t>Santo Domingo</t>
  </si>
  <si>
    <t>Nordeste</t>
  </si>
  <si>
    <t>1 horas 29 minutos</t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</si>
  <si>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Estar debidamente identificados (carné, camisas corporativas manga larga, pava o gorra, botas de seguridad, jeans, repelente, bloqueador y  buena hidratación).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Tener precaución al caminar por terrenos irregulares lo cual puede generar caídas al mismo nivel.
</t>
    </r>
    <r>
      <rPr>
        <b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 xml:space="preserve">. Evitar el contacto con  mascotas.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Siempre se deben dirigir a las veredas o corregimientos acompañados de un funcionario de la alcaldía.
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. Evitar desplazamientos por rutas desconocidas o no convencionales,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Clima templado.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Evite consumir agua de la llave esta no es potable.
</t>
    </r>
    <r>
      <rPr>
        <b/>
        <sz val="12"/>
        <color rgb="FF000000"/>
        <rFont val="Arial"/>
        <family val="2"/>
      </rPr>
      <t xml:space="preserve">8. </t>
    </r>
    <r>
      <rPr>
        <sz val="12"/>
        <color rgb="FF000000"/>
        <rFont val="Arial"/>
        <family val="2"/>
      </rPr>
      <t xml:space="preserve">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</si>
  <si>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Tener precaución en la vía por deslizamiento de tierra en algunos tramos.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Para el desplazamiento por las vías del municipio se recomienda camioneta 4X4 con GPS.  
</t>
    </r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 Los conductores deben de estar cerca del personal en comisión y estar identificado al igual que el vehículo.
</t>
    </r>
    <r>
      <rPr>
        <b/>
        <sz val="12"/>
        <color theme="1"/>
        <rFont val="Arial"/>
        <family val="2"/>
      </rPr>
      <t>4.</t>
    </r>
    <r>
      <rPr>
        <sz val="12"/>
        <color theme="1"/>
        <rFont val="Arial"/>
        <family val="2"/>
      </rPr>
      <t xml:space="preserve"> Llevar alimentos, snacks y líquidos en caso de una eventualidad en la vía.
</t>
    </r>
    <r>
      <rPr>
        <b/>
        <sz val="12"/>
        <color theme="1"/>
        <rFont val="Arial"/>
        <family val="2"/>
      </rPr>
      <t xml:space="preserve">                                                               </t>
    </r>
    <r>
      <rPr>
        <sz val="12"/>
        <color theme="1"/>
        <rFont val="Arial"/>
        <family val="2"/>
      </rPr>
      <t xml:space="preserve">
</t>
    </r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</si>
  <si>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Validar  con el enlace del municipio la situación de orden público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Si se va a desplazar entre la vía San Roque y Santo Domingo tener precaución por presencia de conflicto armado.
</t>
    </r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 En caso de encontrarse con grupos armados acatar sus indicaciones, responder solo lo preguntado y no hacer uso del celular durante la conversación con los mismos.
4. Si identifica una situación de orden público remitirse al área SST por medio de la línea viajes seguros. 
 </t>
    </r>
  </si>
  <si>
    <r>
      <rPr>
        <b/>
        <sz val="12"/>
        <color theme="1"/>
        <rFont val="Arial"/>
        <family val="2"/>
      </rPr>
      <t xml:space="preserve">1. Línea de bomberos </t>
    </r>
    <r>
      <rPr>
        <sz val="12"/>
        <color theme="1"/>
        <rFont val="Arial"/>
        <family val="2"/>
      </rPr>
      <t xml:space="preserve">
3116988781
</t>
    </r>
    <r>
      <rPr>
        <b/>
        <sz val="12"/>
        <color theme="1"/>
        <rFont val="Arial"/>
        <family val="2"/>
      </rPr>
      <t xml:space="preserve">2.Línea de viajes seguros  </t>
    </r>
    <r>
      <rPr>
        <sz val="12"/>
        <color theme="1"/>
        <rFont val="Arial"/>
        <family val="2"/>
      </rPr>
      <t xml:space="preserve">
3162729715. </t>
    </r>
  </si>
  <si>
    <t>Olaya</t>
  </si>
  <si>
    <t>1 horas 36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</si>
  <si>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Portar camisas corporativas manga larga para el sol, pava o gorra, botas de seguridad, jeans, repelente, bloqueador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Clima cálido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su jefe inmediato, no se  auto mediques, ni aceptes recomendaciones del personal farmacéutico.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 el contacto con mascotas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buena hidratacion,en lo posible que las bebidas sean siempre embotelladas.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Se debe tener precaución al caminar por terrenos irregulares ya que se pueden sufrir caídas a diferente nivel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</si>
  <si>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4x4 y GPS.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vehículo.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Llevar dinero en efectivo (en territorio, no siempre reciben transferencias o QR).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Si tomas medicamentos recuerda llevarlos contigo.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Salir con tiempo ya que la vía para llegar al municipio es destapada.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Estar atentos a la vía ya que hay algunos tramos en muy mal estado por fallas geológicas.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</si>
  <si>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3156997701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</si>
  <si>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Granada</t>
  </si>
  <si>
    <t>1 horas 21 minutos</t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</si>
  <si>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Para el desplazamiento por las vías del municipio se recomienda camioneta 4X4 con GPS.    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Llevar alimentos, snacks y líquidos en caso de una eventualidad en la vía. 
</t>
    </r>
    <r>
      <rPr>
        <b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.Tener en cuenta que actualmente están realizando  arreglos en las vías. 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 xml:space="preserve">Tener precaución en la vía al ingresar al municipio por caída de banca.
</t>
    </r>
    <r>
      <rPr>
        <b/>
        <sz val="12"/>
        <color theme="1"/>
        <rFont val="Arial"/>
        <family val="2"/>
      </rPr>
      <t>5.</t>
    </r>
    <r>
      <rPr>
        <sz val="12"/>
        <color theme="1"/>
        <rFont val="Arial"/>
        <family val="2"/>
      </rPr>
      <t xml:space="preserve"> Llevar dinero en efectivo (en territorio no siempre reciben transferencias o QR). 
</t>
    </r>
    <r>
      <rPr>
        <b/>
        <sz val="12"/>
        <color theme="1"/>
        <rFont val="Arial"/>
        <family val="2"/>
      </rPr>
      <t>6.</t>
    </r>
    <r>
      <rPr>
        <sz val="12"/>
        <color theme="1"/>
        <rFont val="Arial"/>
        <family val="2"/>
      </rPr>
      <t xml:space="preserve">  Los conductores deben permanecer cerca del personal en comisión y estar identificados al igual que el vehículo.</t>
    </r>
  </si>
  <si>
    <r>
      <rPr>
        <b/>
        <sz val="12"/>
        <color theme="1"/>
        <rFont val="Arial"/>
        <family val="2"/>
      </rPr>
      <t xml:space="preserve">1.Línea de bomberos </t>
    </r>
    <r>
      <rPr>
        <sz val="12"/>
        <color theme="1"/>
        <rFont val="Arial"/>
        <family val="2"/>
      </rPr>
      <t xml:space="preserve">
3218922182 -  3218922182
</t>
    </r>
    <r>
      <rPr>
        <b/>
        <sz val="12"/>
        <color theme="1"/>
        <rFont val="Arial"/>
        <family val="2"/>
      </rPr>
      <t>2.Linea de viajes seguros</t>
    </r>
    <r>
      <rPr>
        <sz val="12"/>
        <color theme="1"/>
        <rFont val="Arial"/>
        <family val="2"/>
      </rPr>
      <t xml:space="preserve"> 
3162729715
</t>
    </r>
  </si>
  <si>
    <t>Santa Rosa de Osos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</si>
  <si>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Estar debidamente identificados (carné, camisas corporativas manga larga, chaqueta para el frio, pava o gorra, botas de seguridad, jeans, repelente, bloqueador y  buena hidratación).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Siempre se deben dirigir a las veredas o corregimientos acompañados de un funcionario de la alcaldía.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Evitar estar en lugares alejados del lugar de descanso.  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El clima es frio.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se auto medique, ni acepte recomendaciones del personal farmacéutico.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. </t>
    </r>
  </si>
  <si>
    <r>
      <t xml:space="preserve">Se recomienda:
</t>
    </r>
    <r>
      <rPr>
        <b/>
        <sz val="12"/>
        <color theme="1"/>
        <rFont val="Arial"/>
        <family val="2"/>
      </rPr>
      <t xml:space="preserve">1. </t>
    </r>
    <r>
      <rPr>
        <sz val="12"/>
        <color theme="1"/>
        <rFont val="Arial"/>
        <family val="2"/>
      </rPr>
      <t xml:space="preserve">Llevar alimentos, snacks y líquidos en caso de una eventualidad en la vía. 
</t>
    </r>
    <r>
      <rPr>
        <b/>
        <sz val="12"/>
        <color theme="1"/>
        <rFont val="Arial"/>
        <family val="2"/>
      </rPr>
      <t xml:space="preserve">2. </t>
    </r>
    <r>
      <rPr>
        <sz val="12"/>
        <color theme="1"/>
        <rFont val="Arial"/>
        <family val="2"/>
      </rPr>
      <t xml:space="preserve">Llevar dinero en efectivo (en territorio, no siempre reciben transferencias o QR). 
</t>
    </r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 Si tomas medicamentos, llévalos contigo.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 xml:space="preserve">Para el desplazamiento por las vías del municipio se recomienda camioneta 4X4 con GPS.                                                                    
</t>
    </r>
    <r>
      <rPr>
        <b/>
        <sz val="12"/>
        <color theme="1"/>
        <rFont val="Arial"/>
        <family val="2"/>
      </rPr>
      <t>5.</t>
    </r>
    <r>
      <rPr>
        <sz val="12"/>
        <color theme="1"/>
        <rFont val="Arial"/>
        <family val="2"/>
      </rPr>
      <t xml:space="preserve"> Tener precaución en la vía por fallas geológicas </t>
    </r>
  </si>
  <si>
    <r>
      <rPr>
        <b/>
        <sz val="12"/>
        <color rgb="FF000000"/>
        <rFont val="Arial"/>
        <family val="2"/>
      </rPr>
      <t xml:space="preserve">
1. Línea de bomberos</t>
    </r>
    <r>
      <rPr>
        <sz val="12"/>
        <color rgb="FF000000"/>
        <rFont val="Arial"/>
        <family val="2"/>
      </rPr>
      <t xml:space="preserve"> 
8607070 - 3117153852
</t>
    </r>
    <r>
      <rPr>
        <b/>
        <sz val="12"/>
        <color rgb="FF000000"/>
        <rFont val="Arial"/>
        <family val="2"/>
      </rPr>
      <t>2. Línea de viajes seguros</t>
    </r>
    <r>
      <rPr>
        <sz val="12"/>
        <color rgb="FF000000"/>
        <rFont val="Arial"/>
        <family val="2"/>
      </rPr>
      <t xml:space="preserve">  
3162729715. </t>
    </r>
  </si>
  <si>
    <t>Guatapé</t>
  </si>
  <si>
    <t>1 horas 42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</si>
  <si>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Estar debidamente identificados (carné, camisas corporativas manga larga, pava o gorra, botas de seguridad, jeans, repelente, bloqueador y  buena hidratación).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Clima cálido.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Evitar el contacto con  mascotas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Tener precaución al caminar por terrenos irregulares lo cual puede generar caídas al mismo nivel.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desplazamientos por rutas desconocidas o no convencionales.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Evitar consumir agua de la llave esta no es potable.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presenta una condición de salud repórtala al área de seguridad y salud en el trabajo y al jefe inmediato, no se auto mediques, ni aceptes recomendaciones del personal farmacéutico.
</t>
    </r>
    <r>
      <rPr>
        <b/>
        <sz val="12"/>
        <color rgb="FF000000"/>
        <rFont val="Arial"/>
        <family val="2"/>
      </rPr>
      <t xml:space="preserve">8. </t>
    </r>
    <r>
      <rPr>
        <sz val="12"/>
        <color rgb="FF000000"/>
        <rFont val="Arial"/>
        <family val="2"/>
      </rPr>
      <t xml:space="preserve">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</si>
  <si>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Para el desplazamiento por las vías del municipio se recomienda camioneta 4X4 con GPS.    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Llevar alimentos, snacks y líquidos en caso de una eventualidad en la vía. 
</t>
    </r>
    <r>
      <rPr>
        <b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.Tener en cuenta que actualmente se encuentran en  arreglos de las vías.
</t>
    </r>
    <r>
      <rPr>
        <b/>
        <sz val="12"/>
        <color theme="1"/>
        <rFont val="Arial"/>
        <family val="2"/>
      </rPr>
      <t xml:space="preserve">4.  </t>
    </r>
    <r>
      <rPr>
        <sz val="12"/>
        <color theme="1"/>
        <rFont val="Arial"/>
        <family val="2"/>
      </rPr>
      <t xml:space="preserve">Los conductores deben permanecer cerca del personal en comisión y estar identificados al igual que el vehículo. 
</t>
    </r>
    <r>
      <rPr>
        <b/>
        <sz val="12"/>
        <color theme="1"/>
        <rFont val="Arial"/>
        <family val="2"/>
      </rPr>
      <t>5.</t>
    </r>
    <r>
      <rPr>
        <sz val="12"/>
        <color theme="1"/>
        <rFont val="Arial"/>
        <family val="2"/>
      </rPr>
      <t xml:space="preserve"> Llevar dinero en efectivo (en territorio no siempre reciben transferencias o QR). 
</t>
    </r>
    <r>
      <rPr>
        <b/>
        <sz val="12"/>
        <color theme="1"/>
        <rFont val="Arial"/>
        <family val="2"/>
      </rPr>
      <t/>
    </r>
  </si>
  <si>
    <r>
      <rPr>
        <b/>
        <sz val="12"/>
        <color theme="1"/>
        <rFont val="Arial"/>
        <family val="2"/>
      </rPr>
      <t xml:space="preserve">1.Línea de bomberos </t>
    </r>
    <r>
      <rPr>
        <sz val="12"/>
        <color theme="1"/>
        <rFont val="Arial"/>
        <family val="2"/>
      </rPr>
      <t xml:space="preserve">
3196474814
</t>
    </r>
    <r>
      <rPr>
        <b/>
        <sz val="12"/>
        <color theme="1"/>
        <rFont val="Arial"/>
        <family val="2"/>
      </rPr>
      <t>2.Linea de viajes seguros</t>
    </r>
    <r>
      <rPr>
        <sz val="12"/>
        <color theme="1"/>
        <rFont val="Arial"/>
        <family val="2"/>
      </rPr>
      <t xml:space="preserve"> 
3162729715
</t>
    </r>
  </si>
  <si>
    <t>Alejandría</t>
  </si>
  <si>
    <t>1 horas 51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</si>
  <si>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Estar debidamente identificados (carné, camisas corporativas manga larga, pava o gorra, botas de seguridad, jeans, repelente, bloqueador y  buena hidratación).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Clima cálido.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Evitar el contacto con  mascotas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Tener precaución al caminar por terrenos irregulares lo cual puede generar caídas al mismo nivel.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desplazamientos por rutas desconocidas o no convencionales.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Evitar consumir agua de la llave esta no es potable.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presenta una condición de salud repórtala al área de seguridad y salud en el trabajo y al jefe inmediato, no se auto mediques, ni aceptes recomendaciones del personal farmacéutico.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</si>
  <si>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Para el desplazamiento por las vías del municipio se recomienda camioneta 4X4 con GPS.    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Llevar alimentos, snacks y líquidos en caso de una eventualidad en la vía. 
</t>
    </r>
    <r>
      <rPr>
        <b/>
        <sz val="12"/>
        <color theme="1"/>
        <rFont val="Arial"/>
        <family val="2"/>
      </rPr>
      <t xml:space="preserve">3. </t>
    </r>
    <r>
      <rPr>
        <sz val="12"/>
        <color theme="1"/>
        <rFont val="Arial"/>
        <family val="2"/>
      </rPr>
      <t xml:space="preserve">Temer precaución  actualmente  se encuentran en   arreglos de las vías.
</t>
    </r>
    <r>
      <rPr>
        <b/>
        <sz val="12"/>
        <color theme="1"/>
        <rFont val="Arial"/>
        <family val="2"/>
      </rPr>
      <t>4.</t>
    </r>
    <r>
      <rPr>
        <sz val="12"/>
        <color theme="1"/>
        <rFont val="Arial"/>
        <family val="2"/>
      </rPr>
      <t xml:space="preserve">  Llevar dinero en efectivo (en territorio no siempre reciben transferencias o QR). 
</t>
    </r>
    <r>
      <rPr>
        <b/>
        <sz val="12"/>
        <color theme="1"/>
        <rFont val="Arial"/>
        <family val="2"/>
      </rPr>
      <t/>
    </r>
  </si>
  <si>
    <r>
      <rPr>
        <b/>
        <sz val="12"/>
        <color theme="1"/>
        <rFont val="Arial"/>
        <family val="2"/>
      </rPr>
      <t xml:space="preserve">1.Línea de bomberos </t>
    </r>
    <r>
      <rPr>
        <sz val="12"/>
        <color theme="1"/>
        <rFont val="Arial"/>
        <family val="2"/>
      </rPr>
      <t xml:space="preserve">
0348660442 - 3177592913
</t>
    </r>
    <r>
      <rPr>
        <b/>
        <sz val="12"/>
        <color theme="1"/>
        <rFont val="Arial"/>
        <family val="2"/>
      </rPr>
      <t>2.Linea de viajes seguros</t>
    </r>
    <r>
      <rPr>
        <sz val="12"/>
        <color theme="1"/>
        <rFont val="Arial"/>
        <family val="2"/>
      </rPr>
      <t xml:space="preserve"> 
3162729715
</t>
    </r>
  </si>
  <si>
    <t>Liborina</t>
  </si>
  <si>
    <t>1 horas 52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</si>
  <si>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Portar camisas corporativas manga larga para el sol, pava o gorra, botas de seguridad, jeans, repelente, bloqueador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Clima cálido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su jefe inmediato, no se  auto mediques, ni aceptes recomendaciones del personal farmacéutico.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 el contacto con mascotas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buena hidratacion,en lo posible que las bebidas sean siempre embotelladas.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Se debe tener precaución al caminar por terrenos irregulares ya que se pueden sufrir caídas a diferente nivel.
</t>
    </r>
    <r>
      <rPr>
        <b/>
        <sz val="12"/>
        <color rgb="FF000000"/>
        <rFont val="Arial"/>
        <family val="2"/>
      </rPr>
      <t xml:space="preserve">7. </t>
    </r>
    <r>
      <rPr>
        <sz val="12"/>
        <color rgb="FF000000"/>
        <rFont val="Arial"/>
        <family val="2"/>
      </rPr>
      <t xml:space="preserve">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</si>
  <si>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.Validar con el enlace del municipio el estado actual de  vías y  orden público  .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Confirmar si se encuentra los propietarios de las viviendas a visitar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en las veredas los vehículos deben de transitar con las ventanas abajo, a una velocidad moderada por vías angostas.                                       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No transitar por las vías en la noche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</si>
  <si>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</si>
  <si>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Z17</t>
  </si>
  <si>
    <t>Cocorná</t>
  </si>
  <si>
    <t>1 horas 27 minutos</t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</si>
  <si>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Tener precauciones al transitar  en la vía Medellín - Bogotá por alto flujo de robos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Para el desplazamiento por las vías del municipio se recomienda camioneta 4X4 con GPS.     
</t>
    </r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 Llevar alimentos, snacks y líquidos en caso de una eventualidad en la vía. 
</t>
    </r>
    <r>
      <rPr>
        <b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 xml:space="preserve">.Llevar dinero en efectivo (en territorio no siempre reciben transferencias o QR). 
</t>
    </r>
    <r>
      <rPr>
        <b/>
        <sz val="12"/>
        <color theme="1"/>
        <rFont val="Arial"/>
        <family val="2"/>
      </rPr>
      <t/>
    </r>
  </si>
  <si>
    <r>
      <rPr>
        <b/>
        <sz val="12"/>
        <color theme="1"/>
        <rFont val="Arial"/>
        <family val="2"/>
      </rPr>
      <t xml:space="preserve">1.Línea de bomberos </t>
    </r>
    <r>
      <rPr>
        <sz val="12"/>
        <color theme="1"/>
        <rFont val="Arial"/>
        <family val="2"/>
      </rPr>
      <t xml:space="preserve">
3117074303 - 3104711992
</t>
    </r>
    <r>
      <rPr>
        <b/>
        <sz val="12"/>
        <color theme="1"/>
        <rFont val="Arial"/>
        <family val="2"/>
      </rPr>
      <t>2.Linea de viajes seguros</t>
    </r>
    <r>
      <rPr>
        <sz val="12"/>
        <color theme="1"/>
        <rFont val="Arial"/>
        <family val="2"/>
      </rPr>
      <t xml:space="preserve"> 
3162729715
</t>
    </r>
  </si>
  <si>
    <t>Cisneros</t>
  </si>
  <si>
    <t>1 horas 43 minutos</t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</si>
  <si>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Estar debidamente identificados (carné, camisas corporativas manga larga para el sol, pava o gorra, botas de seguridad, jeans, repelente, bloqueador y  buena hidratación).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Tener precaución al caminar por terrenos irregulares lo cual puede generar caídas al mismo nivel.
</t>
    </r>
    <r>
      <rPr>
        <b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. Evitar el contacto con  mascotas.
</t>
    </r>
    <r>
      <rPr>
        <b/>
        <sz val="12"/>
        <color theme="1"/>
        <rFont val="Arial"/>
        <family val="2"/>
      </rPr>
      <t>4.</t>
    </r>
    <r>
      <rPr>
        <sz val="12"/>
        <color theme="1"/>
        <rFont val="Arial"/>
        <family val="2"/>
      </rPr>
      <t xml:space="preserve"> Siempre se deben dirigir a las veredas o corregimientos acompañados de un funcionario de la alcaldía.
</t>
    </r>
    <r>
      <rPr>
        <b/>
        <sz val="12"/>
        <color theme="1"/>
        <rFont val="Arial"/>
        <family val="2"/>
      </rPr>
      <t>5.</t>
    </r>
    <r>
      <rPr>
        <sz val="12"/>
        <color theme="1"/>
        <rFont val="Arial"/>
        <family val="2"/>
      </rPr>
      <t xml:space="preserve"> Evitar desplazamientos por rutas desconocidas o no convencionales,
</t>
    </r>
    <r>
      <rPr>
        <b/>
        <sz val="12"/>
        <color theme="1"/>
        <rFont val="Arial"/>
        <family val="2"/>
      </rPr>
      <t>6.</t>
    </r>
    <r>
      <rPr>
        <sz val="12"/>
        <color theme="1"/>
        <rFont val="Arial"/>
        <family val="2"/>
      </rPr>
      <t xml:space="preserve"> Clima caliente.
</t>
    </r>
    <r>
      <rPr>
        <b/>
        <sz val="12"/>
        <color theme="1"/>
        <rFont val="Arial"/>
        <family val="2"/>
      </rPr>
      <t>7</t>
    </r>
    <r>
      <rPr>
        <sz val="12"/>
        <color theme="1"/>
        <rFont val="Arial"/>
        <family val="2"/>
      </rPr>
      <t xml:space="preserve">. Evite consumir agua de la llave esta no es potable.
</t>
    </r>
    <r>
      <rPr>
        <b/>
        <sz val="12"/>
        <color theme="1"/>
        <rFont val="Arial"/>
        <family val="2"/>
      </rPr>
      <t>8.</t>
    </r>
    <r>
      <rPr>
        <sz val="12"/>
        <color theme="1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</si>
  <si>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Tener precaución en la vía por deslizamiento de tierra por deslizamiento de tierra entre Cisneros y san roque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Para el desplazamiento por las vías del municipio se recomienda camioneta 4X4 con GPS.  
</t>
    </r>
    <r>
      <rPr>
        <b/>
        <sz val="12"/>
        <color theme="1"/>
        <rFont val="Arial"/>
        <family val="2"/>
      </rPr>
      <t xml:space="preserve">3. </t>
    </r>
    <r>
      <rPr>
        <sz val="12"/>
        <color theme="1"/>
        <rFont val="Arial"/>
        <family val="2"/>
      </rPr>
      <t xml:space="preserve">Los conductores deben de estar cerca del personal en comisión y estar identificado al igual que el vehículo.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 xml:space="preserve">Llevar alimentos, snacks y líquidos en caso de una eventualidad en la vía. 
</t>
    </r>
    <r>
      <rPr>
        <b/>
        <sz val="12"/>
        <color theme="1"/>
        <rFont val="Arial"/>
        <family val="2"/>
      </rPr>
      <t xml:space="preserve">                         </t>
    </r>
    <r>
      <rPr>
        <sz val="12"/>
        <color theme="1"/>
        <rFont val="Arial"/>
        <family val="2"/>
      </rPr>
      <t xml:space="preserve">
</t>
    </r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</si>
  <si>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Validar  con el enlace del municipio la situación de orden público y estado de Vías.
</t>
    </r>
    <r>
      <rPr>
        <b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 xml:space="preserve">. Comunicarse  al numeral #767 para obtener información sobre el estado actual de las vías.
 </t>
    </r>
  </si>
  <si>
    <r>
      <rPr>
        <b/>
        <sz val="12"/>
        <color theme="1"/>
        <rFont val="Arial"/>
        <family val="2"/>
      </rPr>
      <t xml:space="preserve">1. Línea de bomberos </t>
    </r>
    <r>
      <rPr>
        <sz val="12"/>
        <color theme="1"/>
        <rFont val="Arial"/>
        <family val="2"/>
      </rPr>
      <t xml:space="preserve">
310 7028310 - 3136423016
</t>
    </r>
    <r>
      <rPr>
        <b/>
        <sz val="12"/>
        <color theme="1"/>
        <rFont val="Arial"/>
        <family val="2"/>
      </rPr>
      <t xml:space="preserve">2.Línea de viajes seguros  </t>
    </r>
    <r>
      <rPr>
        <sz val="12"/>
        <color theme="1"/>
        <rFont val="Arial"/>
        <family val="2"/>
      </rPr>
      <t xml:space="preserve">
3162729715. </t>
    </r>
  </si>
  <si>
    <t>Heliconia</t>
  </si>
  <si>
    <t>43 minutos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</si>
  <si>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Estar atentos a la vía ya que hay algunos tramos en muy mal estado por fallas geológicas.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Camioneta 4x4 y GPS.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vehículo.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Llevar dinero en efectivo (en territorio, no siempre reciben transferencias o QR). 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Si tomas medicamentos recuerda llevarlos contigo. 
</t>
    </r>
    <r>
      <rPr>
        <b/>
        <sz val="12"/>
        <color rgb="FF000000"/>
        <rFont val="Arial"/>
        <family val="2"/>
      </rPr>
      <t xml:space="preserve">7. </t>
    </r>
    <r>
      <rPr>
        <sz val="12"/>
        <color rgb="FF000000"/>
        <rFont val="Arial"/>
        <family val="2"/>
      </rPr>
      <t xml:space="preserve"> Llevar comida o snack para el camino y buena hidratación 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</si>
  <si>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3113443222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</si>
  <si>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Rionegro</t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</si>
  <si>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Para el desplazamiento por las vías del municipio se recomienda camioneta 4X4 con GPS.    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 Llevar alimentos, snacks y líquidos en caso de una eventualidad en la vía. 
</t>
    </r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Llevar dinero en efectivo (en territorio no siempre reciben transferencias o QR). 
</t>
    </r>
    <r>
      <rPr>
        <b/>
        <sz val="12"/>
        <color theme="1"/>
        <rFont val="Arial"/>
        <family val="2"/>
      </rPr>
      <t/>
    </r>
  </si>
  <si>
    <r>
      <rPr>
        <b/>
        <sz val="12"/>
        <color theme="1"/>
        <rFont val="Arial"/>
        <family val="2"/>
      </rPr>
      <t xml:space="preserve">1.Línea de bomberos </t>
    </r>
    <r>
      <rPr>
        <sz val="12"/>
        <color theme="1"/>
        <rFont val="Arial"/>
        <family val="2"/>
      </rPr>
      <t xml:space="preserve">
3108317797 - 6044443139
</t>
    </r>
    <r>
      <rPr>
        <b/>
        <sz val="12"/>
        <color theme="1"/>
        <rFont val="Arial"/>
        <family val="2"/>
      </rPr>
      <t>2.Linea de viajes seguros</t>
    </r>
    <r>
      <rPr>
        <sz val="12"/>
        <color theme="1"/>
        <rFont val="Arial"/>
        <family val="2"/>
      </rPr>
      <t xml:space="preserve"> 
3162729715
</t>
    </r>
  </si>
  <si>
    <t>El Carmen de Viboral</t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</si>
  <si>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Para el desplazamiento por las vías del municipio se recomienda camioneta 4X4 con GPS.    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 Llevar alimentos, snacks y líquidos en caso de una eventualidad en la vía. 
</t>
    </r>
    <r>
      <rPr>
        <b/>
        <sz val="12"/>
        <color theme="1"/>
        <rFont val="Arial"/>
        <family val="2"/>
      </rPr>
      <t xml:space="preserve">3. </t>
    </r>
    <r>
      <rPr>
        <sz val="12"/>
        <color theme="1"/>
        <rFont val="Arial"/>
        <family val="2"/>
      </rPr>
      <t xml:space="preserve">Tener en cuenta que actualmente en arreglos en las vías.
</t>
    </r>
    <r>
      <rPr>
        <b/>
        <sz val="12"/>
        <color theme="1"/>
        <rFont val="Arial"/>
        <family val="2"/>
      </rPr>
      <t/>
    </r>
  </si>
  <si>
    <r>
      <rPr>
        <b/>
        <sz val="12"/>
        <color theme="1"/>
        <rFont val="Arial"/>
        <family val="2"/>
      </rPr>
      <t xml:space="preserve">1.Línea de bomberos </t>
    </r>
    <r>
      <rPr>
        <sz val="12"/>
        <color theme="1"/>
        <rFont val="Arial"/>
        <family val="2"/>
      </rPr>
      <t xml:space="preserve">
3227113 - 3192227447
</t>
    </r>
    <r>
      <rPr>
        <b/>
        <sz val="12"/>
        <color theme="1"/>
        <rFont val="Arial"/>
        <family val="2"/>
      </rPr>
      <t>2.Linea de viajes seguros</t>
    </r>
    <r>
      <rPr>
        <sz val="12"/>
        <color theme="1"/>
        <rFont val="Arial"/>
        <family val="2"/>
      </rPr>
      <t xml:space="preserve"> 
3162729715
</t>
    </r>
  </si>
  <si>
    <t>Anzá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</si>
  <si>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Portar camisas corporativas manga larga para el sol, pava o gorra, botas de seguridad, jeans, repelente, bloqueador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Clima cálido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su jefe inmediato, no se  auto mediques, ni aceptes recomendaciones del personal farmacéutico.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 el contacto con mascotas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buena hidratacion,en lo posible que las bebidas sean siempre embotelladas.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Se debe tener precaución al caminar por terrenos irregulares ya que se pueden sufrir caídas a diferente nivel.
</t>
    </r>
    <r>
      <rPr>
        <b/>
        <sz val="12"/>
        <color rgb="FF000000"/>
        <rFont val="Arial"/>
        <family val="2"/>
      </rPr>
      <t>7</t>
    </r>
    <r>
      <rPr>
        <sz val="12"/>
        <color rgb="FF000000"/>
        <rFont val="Arial"/>
        <family val="2"/>
      </rPr>
      <t xml:space="preserve">. Si visitas zonas rurales e identificas que necesitas Elementos de protección personal (EPP) adicionales, solicitarlos al área SST. 
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</si>
  <si>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4x4 y GPS.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vehículo.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Llevar dinero en efectivo (en territorio, no siempre reciben transferencias o QR).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Si tomas medicamentos recuerda llevarlos contigo.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Para llegar a las veredas se debe llegar en transporte no convencional (mular).</t>
    </r>
  </si>
  <si>
    <t>Santa fe de Antioquia</t>
  </si>
  <si>
    <t>51 minutos</t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</si>
  <si>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 3160432900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</si>
  <si>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La Pintada</t>
  </si>
  <si>
    <t>1 horas 50 minutos</t>
  </si>
  <si>
    <r>
      <t xml:space="preserve">
Se recomienda: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hidratación, protección solar y hidratación.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 con el enlace del municipio o coordinador por parte del contratista.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 Si pernocta, al terminar las actividades laborales, evitar estar en lugares alejados del lugar de descanso o del equipo de comisión.      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Tener precaución al caminar por terrenos irregulares lo cual puede generar caídas a diferente nivel.                                                      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el contacto con  mascotas.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te auto mediques, ni aceptes recomendaciones del personal farmacéutico.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Clima frio.
</t>
    </r>
    <r>
      <rPr>
        <b/>
        <sz val="12"/>
        <color rgb="FF000000"/>
        <rFont val="Arial"/>
        <family val="2"/>
      </rPr>
      <t>8</t>
    </r>
    <r>
      <rPr>
        <sz val="12"/>
        <color rgb="FF000000"/>
        <rFont val="Arial"/>
        <family val="2"/>
      </rPr>
      <t xml:space="preserve">. Si visitas zonas rurales e identificas que necesitas Elementos de protección personal (EPP) adicionales, solicitarlos al área SST. 
</t>
    </r>
  </si>
  <si>
    <t>Z21</t>
  </si>
  <si>
    <t>Salgar</t>
  </si>
  <si>
    <t>2 horas 8 minutos</t>
  </si>
  <si>
    <r>
      <t xml:space="preserve">Se recomienda: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hidratación, protección solar y hidratación.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 con el enlace del municipio o coordinador por parte del contratista.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 Si pernocta, al terminar las actividades laborales, evitar estar en lugares alejados del lugar de descanso o del equipo de comisión.      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Tener precaución al caminar por terrenos irregulares lo cual puede generar caídas a diferente nivel.                                                      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el contacto con  mascotas.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te auto mediques, ni aceptes recomendaciones del personal farmacéutico.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Clima templado.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</si>
  <si>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t xml:space="preserve">Se recomienda: 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.Validar con el enlace del municipio el estado actual de  vías y  orden público.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Zona geológicamente inestable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Confirmar si se encuentra los propietarios de las viviendas a visitar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en las veredas los vehículos deben de transitar con las ventanas abajo, a una velocidad moderada por vías angostas.                                       
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No transitar por las vías en la noche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</si>
  <si>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3128848214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</si>
  <si>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Z12</t>
  </si>
  <si>
    <t>Ituango</t>
  </si>
  <si>
    <t>4 horas 59 minutos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</si>
  <si>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 de seguridad, buena hidratación (NO SE CUENTA CON AGUA POTABLE), repelente. 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Siempre se deben dirigir a las veredas o corregimientos acompañados de un funcionario de la alcaldía.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Evitar estar en lugares alejados del lugar de descanso. 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El clima es caliente.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Usar bloqueador solar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se auto medique, ni acepte recomendaciones del personal farmacéutico. 
</t>
    </r>
    <r>
      <rPr>
        <b/>
        <sz val="12"/>
        <color rgb="FF000000"/>
        <rFont val="Arial"/>
        <family val="2"/>
      </rPr>
      <t xml:space="preserve">7. </t>
    </r>
    <r>
      <rPr>
        <sz val="12"/>
        <color rgb="FF000000"/>
        <rFont val="Arial"/>
        <family val="2"/>
      </rPr>
      <t xml:space="preserve">Si visitas zonas rurales e identificas que necesitas Elementos de protección personal (EPP) adicionales, solicitarlos al área SST. 
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</si>
  <si>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con volcó y GPS. 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Llevar alimentos o snack para el camino.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Llevar dinero en efectivo (en territorio, no siempre reciben transferencias o QR). 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Si tomas medicamentos recuerda llevarlos contigo.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</si>
  <si>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Validar  con el enlace del municipio la situación de orden público ya que es zona roja  en la parte rural y urbana.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Confirmar si se encuentra los propietarios de las viviendas a visitar, (tener presente  que se puede presentar hostigamiento en cualquier momento).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Se sugiere:</t>
    </r>
    <r>
      <rPr>
        <sz val="12"/>
        <color rgb="FF000000"/>
        <rFont val="Arial"/>
        <family val="2"/>
      </rPr>
      <t xml:space="preserve"> En caso de encontrarse con grupos armados acatar sus indicaciones, responder solo lo preguntado y no hacer uso del celular durante la conversación con los mismos. 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</si>
  <si>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 xml:space="preserve">
1. Línea de bomberos</t>
    </r>
    <r>
      <rPr>
        <sz val="12"/>
        <color rgb="FF000000"/>
        <rFont val="Arial"/>
        <family val="2"/>
      </rPr>
      <t xml:space="preserve"> 3117473475.
</t>
    </r>
    <r>
      <rPr>
        <b/>
        <sz val="12"/>
        <color rgb="FF000000"/>
        <rFont val="Arial"/>
        <family val="2"/>
      </rPr>
      <t>2. Línea de viajes seguros</t>
    </r>
    <r>
      <rPr>
        <sz val="12"/>
        <color rgb="FF000000"/>
        <rFont val="Arial"/>
        <family val="2"/>
      </rPr>
      <t xml:space="preserve">  
3162729715. </t>
    </r>
  </si>
  <si>
    <t>Z13</t>
  </si>
  <si>
    <t>Peque</t>
  </si>
  <si>
    <t>4 horas 51 minutos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</si>
  <si>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4x4 y GPS. 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Los conductores deben en lo posible estar cerca del personal en comisión y estar identificado al igual que el vehículo.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Llevar comida o snack para el camino y buena hidratación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dinero en efectivo (en territorio, no siempre reciben transferencias o QR).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tomas medicamentos recuerda llevarlos contigo.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</si>
  <si>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antes de iniciar la comisión con el enlace del municipio la situación de orden público, salir con tiempo ya que hay pare y siga  por obras en la vía y después de las 8:00 a.m. la cierran.  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Por presencia de grupos al margen de la ley, se  debe salir del municipio antes de las 4:00 p.m., si no es posible la salida en este horario se pernota en el municipio, ya que empieza a ver presencia de estos grupos en las carreteras. 
</t>
    </r>
    <r>
      <rPr>
        <b/>
        <sz val="12"/>
        <color rgb="FF000000"/>
        <rFont val="Arial"/>
        <family val="2"/>
      </rPr>
      <t xml:space="preserve">3. Se sugiere: </t>
    </r>
    <r>
      <rPr>
        <sz val="12"/>
        <color rgb="FF000000"/>
        <rFont val="Arial"/>
        <family val="2"/>
      </rPr>
      <t xml:space="preserve">En caso de encontrarse con grupos armados acatar sus indicaciones, responder solo lo preguntado y no hacer uso del celular durante la conversación con los mismos. 
</t>
    </r>
  </si>
  <si>
    <r>
      <rPr>
        <b/>
        <sz val="12"/>
        <color rgb="FF000000"/>
        <rFont val="Arial"/>
        <family val="2"/>
      </rPr>
      <t xml:space="preserve">1. Línea de viajes seguros  
</t>
    </r>
    <r>
      <rPr>
        <sz val="12"/>
        <color rgb="FF000000"/>
        <rFont val="Arial"/>
        <family val="2"/>
      </rPr>
      <t xml:space="preserve">3162729715 </t>
    </r>
  </si>
  <si>
    <t>Z10</t>
  </si>
  <si>
    <t>Briceño</t>
  </si>
  <si>
    <t>4 horas 19 minutos</t>
  </si>
  <si>
    <r>
      <t xml:space="preserve">Se recomienda:                                                                                       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Portar camisas corporativas, chaleco,  pava o gorra, botas, hidratación, protección solar.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 acompañados de un funcionario de la alcaldía con el fin que pueda direccionarlos al lugar de los mejoramientos y sea reconocido por los habitantes del lugar.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Se debe tener precaución al caminar por terrenos irregulares ya que se pueden sufrir caídas al mismo nivel.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Clima cálido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se auto medique, ni aceptes recomendaciones del personal farmacéutico.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</si>
  <si>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con volcó y GPS. 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Llevar alimentos o snack para el camino.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dinero en efectivo (en territorio, no siempre reciben transferencias o QR).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tomas medicamentos recuerda llevarlos contigo. 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>Los conductores deberán realizar pausas activas a lo largo de recorrido.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</si>
  <si>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municipio el estado de las vías, orden público ya que es zona roja  en la parte rural y urbana.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Confirmar si se encuentran los propietarios de las viviendas a visitar.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Tener presente que se debe estar siempre atento ya que se puede presentar hostigamiento en cualquier momento.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 xml:space="preserve">Se sugiere: </t>
    </r>
    <r>
      <rPr>
        <sz val="12"/>
        <color rgb="FF000000"/>
        <rFont val="Arial"/>
        <family val="2"/>
      </rPr>
      <t xml:space="preserve">En caso de encontrarse con grupos armados acatar sus indicaciones, no hablar más de lo indicado, responder solo lo preguntado y no hacer uso del celular durante la conversación  con los mismos.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</si>
  <si>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 xml:space="preserve">1. Línea de bomberos 
</t>
    </r>
    <r>
      <rPr>
        <sz val="12"/>
        <color rgb="FF000000"/>
        <rFont val="Arial"/>
        <family val="2"/>
      </rPr>
      <t xml:space="preserve">8570344 - 3128321770.
</t>
    </r>
    <r>
      <rPr>
        <b/>
        <sz val="12"/>
        <color rgb="FF000000"/>
        <rFont val="Arial"/>
        <family val="2"/>
      </rPr>
      <t xml:space="preserve">2.Línea de viajes </t>
    </r>
    <r>
      <rPr>
        <sz val="12"/>
        <color rgb="FF000000"/>
        <rFont val="Arial"/>
        <family val="2"/>
      </rPr>
      <t xml:space="preserve">seguros  
3162729715. </t>
    </r>
  </si>
  <si>
    <t>Z09</t>
  </si>
  <si>
    <t>Anorí</t>
  </si>
  <si>
    <t>4 horas 14 minutos</t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</si>
  <si>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 manga larga para el sol, pava o gorra, botas de seguridad, jeans, repelente, bloqueador y  buena hidratación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Clima caliente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Evitar el contacto con las mascotas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se auto mediques, ni acepte recomendaciones del personal farmacéutico.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</si>
  <si>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Estar atentos a la vía ya que hay algunos tramos en muy mal estado por fallas geológicas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Para el desplazamiento por las vías del municipio se recomienda camioneta 4X4 con GPS.                                           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Los conductores deben de estar cerca del personal en comisión y estar identificado al igual que el vehículo.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alimentos, snacks y líquidos en caso de una eventualidad en la vía.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Si tomas medicamentos recuerda llevarlos contigo.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</si>
  <si>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t xml:space="preserve">Tener presente para la comisión: 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 Se evidencia continuamente  conflicto en la vía por paro armado y la comunidad.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Se puede presentar pare y siga por deslizamiento de tierra salir con tiempo.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Validar con el municipio el estado de las vías, orden público ya que es zona roja  en la parte rural y urbana.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Se sugiere:</t>
    </r>
    <r>
      <rPr>
        <sz val="12"/>
        <color rgb="FF000000"/>
        <rFont val="Arial"/>
        <family val="2"/>
      </rPr>
      <t xml:space="preserve"> En caso de encontrarse con grupos armados acatar sus indicaciones, no hablar más de lo indicado, responder solo lo preguntado y no hacer uso del celular durante la conversación con los mismos.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
</t>
    </r>
  </si>
  <si>
    <r>
      <rPr>
        <b/>
        <sz val="12"/>
        <color rgb="FF000000"/>
        <rFont val="Arial"/>
        <family val="2"/>
      </rPr>
      <t xml:space="preserve">1. Línea de bomberos 
</t>
    </r>
    <r>
      <rPr>
        <sz val="12"/>
        <color rgb="FF000000"/>
        <rFont val="Arial"/>
        <family val="2"/>
      </rPr>
      <t xml:space="preserve">8350336 - 3145294577
</t>
    </r>
    <r>
      <rPr>
        <b/>
        <sz val="12"/>
        <color rgb="FF000000"/>
        <rFont val="Arial"/>
        <family val="2"/>
      </rPr>
      <t xml:space="preserve">2.Línea de viajes seguros  
</t>
    </r>
    <r>
      <rPr>
        <sz val="12"/>
        <color rgb="FF000000"/>
        <rFont val="Arial"/>
        <family val="2"/>
      </rPr>
      <t xml:space="preserve">3162729715. </t>
    </r>
  </si>
  <si>
    <t>Toledo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</si>
  <si>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chaleco,  pava o gorra, botas, hidratación, protección solar, siempre se deben dirigir a las veredas  acompañados de un funcionario de la alcaldía con el fin que pueda direccionarlos a lugar del mejoramientos y sea reconocido por los habitantes del lugar. 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Se debe tener precaución al caminar por terrenos irregulares ya que se pueden sufrir caídas al mismo nivel.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se auto medique, ni acepte recomendaciones del personal farmacéutico.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Clima frio.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</si>
  <si>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Para el desplazamiento por las vías del municipio camioneta 4X4 con GPS, para carreteras destapadas.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Los conductores deben en lo posible estar cerca del personal en comisión y estar identificado al igual que el vehículo.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Llevar alimentos, snacks y líquidos de ser necesario en caso de una eventualidad en la vía.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dinero en efectivo (en territorio, no siempre reciben transferencias o QR). 
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.Si tomas medicamentos recuerda llevarlos contigo.  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>Los conductores deberán realizar pausas activas a lo largo de recorrido.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</si>
  <si>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municipio el estado de las vías, orden público ya que es zona roja  en la parte rural y urbana.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Confirmar con el personal del municipio si fueron informadas las visitas a los propietarios de las viviendas.                               
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Se sugiere:</t>
    </r>
    <r>
      <rPr>
        <sz val="12"/>
        <color rgb="FF000000"/>
        <rFont val="Arial"/>
        <family val="2"/>
      </rPr>
      <t xml:space="preserve"> En caso de encontrarse con grupos armados acatar sus indicaciones, no hablar más de lo indicado, responder solo lo preguntado y no hacer uso del celular durante la conversación con los mismos.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
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</si>
  <si>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3148627019
</t>
    </r>
    <r>
      <rPr>
        <b/>
        <sz val="12"/>
        <color rgb="FF000000"/>
        <rFont val="Arial"/>
        <family val="2"/>
      </rPr>
      <t>2.Línea de viajes seguros</t>
    </r>
    <r>
      <rPr>
        <sz val="12"/>
        <color rgb="FF000000"/>
        <rFont val="Arial"/>
        <family val="2"/>
      </rPr>
      <t xml:space="preserve">  
3162729715. </t>
    </r>
  </si>
  <si>
    <t>Caramanta</t>
  </si>
  <si>
    <t>3 horas 6 minutos</t>
  </si>
  <si>
    <r>
      <t xml:space="preserve">Se recomienda: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hidratación, protección solar.                                                                   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Siempre se deben dirigir a las veredas o corregimientos acompañados de un funcionario de la alcaldía con el fin que pueda direccionarlos al lugar de los mejoramientos y sea reconocido por los habitantes del lugar.                                                   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 Al terminar las actividades laborales, evitar estar en lugares alejados del lugar de descanso o del equipo de comisión.      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Tener precaución al caminar por terrenos irregulares lo cual puede generar caídas al mismo nivel.                                                          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tocar mascotas.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a su jefe inmediato, no se auto medique, ni acepte recomendaciones del personal farmacéutico. 
</t>
    </r>
    <r>
      <rPr>
        <b/>
        <sz val="12"/>
        <color rgb="FF000000"/>
        <rFont val="Arial"/>
        <family val="2"/>
      </rPr>
      <t xml:space="preserve">7. </t>
    </r>
    <r>
      <rPr>
        <sz val="12"/>
        <color rgb="FF000000"/>
        <rFont val="Arial"/>
        <family val="2"/>
      </rPr>
      <t xml:space="preserve">Clima frio.
</t>
    </r>
    <r>
      <rPr>
        <b/>
        <sz val="12"/>
        <color rgb="FF000000"/>
        <rFont val="Arial"/>
        <family val="2"/>
      </rPr>
      <t xml:space="preserve">8. </t>
    </r>
    <r>
      <rPr>
        <sz val="12"/>
        <color rgb="FF000000"/>
        <rFont val="Arial"/>
        <family val="2"/>
      </rPr>
      <t xml:space="preserve">Si visitas zonas rurales e identificas que necesitas Elementos de protección personal (EPP) adicionales, solicitarlos al área SST. </t>
    </r>
  </si>
  <si>
    <r>
      <t xml:space="preserve">Se recomienda:
</t>
    </r>
    <r>
      <rPr>
        <b/>
        <sz val="12"/>
        <color rgb="FF000000"/>
        <rFont val="Arial"/>
        <family val="2"/>
      </rPr>
      <t xml:space="preserve">
1.</t>
    </r>
    <r>
      <rPr>
        <sz val="12"/>
        <color rgb="FF000000"/>
        <rFont val="Arial"/>
        <family val="2"/>
      </rPr>
      <t xml:space="preserve"> Para el desplazamiento por las vías del municipio se recomienda camioneta 4X4 con GPS.                                                                     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Los conductores deben de estar cerca del personal en comisión y estar identificado al igual que el vehículo.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Llevar alimentos, snacks y líquidos en caso de una eventualidad en la vía.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dinero en efectivo (en territorio, no siempre reciben transferencias o QR).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>Si tomas medicamentos recuerda llevarlos contigo. 
6. Los conductores deberán realizar pausas activas a lo largo de recorrido.</t>
    </r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</si>
  <si>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Validar con el municipio el estado de las vías y el orden público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>Confirmar con el enlace del municipio si fueron informadas las visitas a los propietarios de las viviendas.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</si>
  <si>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8553070 - 3148494005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</si>
  <si>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San Carlos</t>
  </si>
  <si>
    <t>3 horas 56 minutos</t>
  </si>
  <si>
    <r>
      <t xml:space="preserve">Se recomienda:      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hidratación, protección solar   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acompañados de un funcionario de la alcaldía con el fin que pueda direccionarlos al lugar de los mejoramientos y sea reconocido por los habitantes del lugar.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Al terminar las actividades laborales, evitar estar en lugares alejados del lugar de descanso o del equipo de comisión.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Tener precaución al caminar por terrenos irregulares lo cual puede generar caídas al mismo nivel.                                                         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tocar mascotas.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se auto mediques, ni acepte recomendaciones del personal farmacéutico. 
</t>
    </r>
    <r>
      <rPr>
        <b/>
        <sz val="12"/>
        <color rgb="FF000000"/>
        <rFont val="Arial"/>
        <family val="2"/>
      </rPr>
      <t xml:space="preserve">7. </t>
    </r>
    <r>
      <rPr>
        <sz val="12"/>
        <color rgb="FF000000"/>
        <rFont val="Arial"/>
        <family val="2"/>
      </rPr>
      <t xml:space="preserve">Clima templado.
</t>
    </r>
    <r>
      <rPr>
        <b/>
        <sz val="12"/>
        <color rgb="FF000000"/>
        <rFont val="Arial"/>
        <family val="2"/>
      </rPr>
      <t xml:space="preserve">8. </t>
    </r>
    <r>
      <rPr>
        <sz val="12"/>
        <color rgb="FF000000"/>
        <rFont val="Arial"/>
        <family val="2"/>
      </rPr>
      <t xml:space="preserve">Si visitas zonas rurales e identificas que necesitas Elementos de protección personal (EPP) adicionales, solicitarlos al área SST. 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</si>
  <si>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Estar atentos a la vía ya que hay algunos tramos en muy mal estado por fallas geológicas, lo que no permite una adecuada movilidad y presenta algunos inconvenientes a la hora de transitar.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Para el desplazamiento por las vías del municipio se recomienda camioneta 4X4 con GPS.                                           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Los conductores deben de estar cerca del personal en comisión y estar identificado al igual que el vehículo.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alimentos, snacks y líquidos en caso de una eventualidad en la vía.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tomas medicamentos recuerda llevarlos contigo.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</si>
  <si>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rPr>
        <sz val="12"/>
        <color rgb="FF000000"/>
        <rFont val="Arial"/>
        <family val="2"/>
      </rPr>
      <t xml:space="preserve">Se recomienda:  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Validar con el municipio el estado de las vías y el orden público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>Confirmar con el personal del municipio si fueron informadas las visitas a los propietarios de las viviendas.</t>
    </r>
  </si>
  <si>
    <r>
      <rPr>
        <b/>
        <sz val="12"/>
        <color rgb="FF000000"/>
        <rFont val="Arial"/>
        <family val="2"/>
      </rPr>
      <t xml:space="preserve">1.Línea de bomberos 
</t>
    </r>
    <r>
      <rPr>
        <sz val="12"/>
        <color rgb="FF000000"/>
        <rFont val="Arial"/>
        <family val="2"/>
      </rPr>
      <t xml:space="preserve">3127208774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</si>
  <si>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Z07</t>
  </si>
  <si>
    <t>Vegachí</t>
  </si>
  <si>
    <t>3 horas 50 minutos</t>
  </si>
  <si>
    <r>
      <rPr>
        <sz val="12"/>
        <color rgb="FF000000"/>
        <rFont val="Arial"/>
        <family val="2"/>
      </rP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hidratación, protección solar, siempre se deben dirigir a las veredas o corregimientos acompañados de un funcionario de la alcaldía con el fin que pueda direccionarlos a lugar del mejoramientos,  y sea reconocido por los habitantes del lugar. 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Luego de terminar las actividades laborales, evitar estar en lugares alejados del lugar de descanso o alejarse del equipo, tener precaución al caminar por terrenos irregulares lo cual puede generar caídas al mismo nivel,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Evitar el contacto con las mascotas.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Como es un una zona minera, se recomienda no consumir agua de la llave, en lo posible que las bebidas sean siempre embotelladas.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a su jefe inmediato, no se auto medique, ni acepte recomendaciones del personal farmacéutico.    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Clima caliente.
</t>
    </r>
    <r>
      <rPr>
        <b/>
        <sz val="12"/>
        <color rgb="FF000000"/>
        <rFont val="Arial"/>
        <family val="2"/>
      </rPr>
      <t xml:space="preserve">7. </t>
    </r>
    <r>
      <rPr>
        <sz val="12"/>
        <color rgb="FF000000"/>
        <rFont val="Arial"/>
        <family val="2"/>
      </rPr>
      <t xml:space="preserve">Si visitas zonas rurales e identificas que necesitas Elementos de protección personal (EPP) adicionales, solicitarlos al área SST.   
                                                                                              </t>
    </r>
  </si>
  <si>
    <r>
      <t xml:space="preserve">Se recomienda:
</t>
    </r>
    <r>
      <rPr>
        <b/>
        <sz val="12"/>
        <color rgb="FF000000"/>
        <rFont val="Arial"/>
        <family val="2"/>
      </rPr>
      <t xml:space="preserve">
1.</t>
    </r>
    <r>
      <rPr>
        <sz val="12"/>
        <color rgb="FF000000"/>
        <rFont val="Arial"/>
        <family val="2"/>
      </rPr>
      <t xml:space="preserve"> Para el desplazamiento por las vías del municipio se recomienda camioneta 4X4 con GPS.                                                                     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Los conductores deben de estar cerca del personal en comisión y estar identificado al igual que el vehículo.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Llevar alimentos, snacks y líquidos en caso de una eventualidad en la vía.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dinero en efectivo (en territorio, no siempre reciben transferencias o QR). 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Si tomas medicamentos recuerda llevarlos contigo.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Los conductores deberán realizar pausas activas a lo largo de recorrido. </t>
    </r>
  </si>
  <si>
    <r>
      <t xml:space="preserve">Tener presente para la comisión: 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Entre el sector Vegachí y Yalí se presenta retenes fuerza armadas. 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Validar con el municipio el estado de las vías, orden público ya que es zona roja  en la parte rural.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 xml:space="preserve">Se sugiere: </t>
    </r>
    <r>
      <rPr>
        <sz val="12"/>
        <color rgb="FF000000"/>
        <rFont val="Arial"/>
        <family val="2"/>
      </rPr>
      <t xml:space="preserve">En caso de encontrarse con grupos armados acatar sus indicaciones, no hablar más de lo indicado, responder solo lo preguntado y no hacer uso del celular durante la conversación con los mismos.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</t>
    </r>
  </si>
  <si>
    <r>
      <rPr>
        <sz val="12"/>
        <color rgb="FF000000"/>
        <rFont val="Arial"/>
        <family val="2"/>
      </rPr>
      <t xml:space="preserve">
</t>
    </r>
    <r>
      <rPr>
        <b/>
        <sz val="12"/>
        <color rgb="FF000000"/>
        <rFont val="Arial"/>
        <family val="2"/>
      </rPr>
      <t xml:space="preserve">1. Línea de bomberos </t>
    </r>
    <r>
      <rPr>
        <sz val="12"/>
        <color rgb="FF000000"/>
        <rFont val="Arial"/>
        <family val="2"/>
      </rPr>
      <t xml:space="preserve">3146056641
</t>
    </r>
    <r>
      <rPr>
        <b/>
        <sz val="12"/>
        <color rgb="FF000000"/>
        <rFont val="Arial"/>
        <family val="2"/>
      </rPr>
      <t xml:space="preserve">2.Línea de viajes seguros  
</t>
    </r>
    <r>
      <rPr>
        <sz val="12"/>
        <color rgb="FF000000"/>
        <rFont val="Arial"/>
        <family val="2"/>
      </rPr>
      <t xml:space="preserve">3162729715. </t>
    </r>
  </si>
  <si>
    <t>Abriaquí</t>
  </si>
  <si>
    <t>3 horas 43 minutos</t>
  </si>
  <si>
    <r>
      <t xml:space="preserve">Tener presente las siguientes recomendaciones: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Por trabajos en el Túnel de Toyo y Autopista al mar, en ocasiones la movilidad es restringida en horarios específicos.                                                                              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Para el desplazamiento por las vías del municipio se recomienda camioneta 4X4 con GPS.                                                                         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Llevar alimentos, snacks y líquidos para el tiempo de espera.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Los conductores deben de estar cerca del personal en comisión y estar identificado al igual que el vehículo.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Si tomas medicamentos recuerda llevarlos contigo. 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>Los conductores deberán realizar pausas activas a lo largo de recorrido.</t>
    </r>
  </si>
  <si>
    <r>
      <t xml:space="preserve">Tener presente para la comisión: 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Validar antes de iniciar comisión con el enlace del municipio la situación de orden público.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Confirmar con el personal del municipio si fueron informadas las visitas a los propietarios de las viviendas.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Se sugiere: En caso de encontrarse con grupos armados acatar sus indicaciones, no hablar más de lo indicado, responder solo lo preguntado y no hacer uso del celular durante la conversación con los mismos.
</t>
    </r>
  </si>
  <si>
    <r>
      <rPr>
        <b/>
        <sz val="12"/>
        <color rgb="FF000000"/>
        <rFont val="Arial"/>
        <family val="2"/>
      </rPr>
      <t xml:space="preserve">1.Línea de viajes seguros </t>
    </r>
    <r>
      <rPr>
        <sz val="12"/>
        <color rgb="FF000000"/>
        <rFont val="Arial"/>
        <family val="2"/>
      </rPr>
      <t xml:space="preserve"> 
3162729715. </t>
    </r>
  </si>
  <si>
    <t>Z15</t>
  </si>
  <si>
    <t>Argelia</t>
  </si>
  <si>
    <t>3 horas 24 minutos</t>
  </si>
  <si>
    <r>
      <t xml:space="preserve">Se recomienda:          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hidratación.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 acompañados de un funcionario de la alcaldía con el fin que pueda direccionarlos al lugar de los mejoramientos y sea reconocido por los habitantes del lugar.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 una condición de salud repórtala al área de seguridad y salud en el trabajo y a su jefe inmediato, no se auto medique, ni acepte recomendaciones del personal farmacéutico.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Clima templado.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</si>
  <si>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Llevar dinero en efectivo (en territorio, no siempre reciben transferencias o QR).                                                                         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Para el desplazamiento por las vías del municipio se recomienda camioneta 4X4 con GPS.                                                                         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Llevar alimentos, snacks y líquidos  por si se presenta alguna eventualidad en la vía.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Los conductores deben de estar cerca del personal en comisión y estar identificado al igual que el vehículo.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tomas medicamentos recuerda llevarlos contigo.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</si>
  <si>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rPr>
        <sz val="12"/>
        <color rgb="FF000000"/>
        <rFont val="Arial"/>
        <family val="2"/>
      </rPr>
      <t xml:space="preserve">Tener presente para la comisión: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 con el enlace del municipio la situación de orden público.                                                              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Confirmar con el personal del municipio si fueron informadas las visitas a los propietarios de las viviendas.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Se sugiere: En caso de encontrarse con grupos armados acatar sus indicaciones, no hablar más de lo indicado, responder solo lo preguntado y no hacer uso del celular durante la conversación con los mismos.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 Comunicarse  al numeral #767 para obtener información sobre el estado actual de las vías. 
</t>
    </r>
  </si>
  <si>
    <r>
      <rPr>
        <b/>
        <sz val="12"/>
        <color rgb="FF000000"/>
        <rFont val="Arial"/>
        <family val="2"/>
      </rPr>
      <t>1.Línea de bomberos</t>
    </r>
    <r>
      <rPr>
        <sz val="12"/>
        <color rgb="FF000000"/>
        <rFont val="Arial"/>
        <family val="2"/>
      </rPr>
      <t xml:space="preserve"> 
8650234 - 3127830822
</t>
    </r>
    <r>
      <rPr>
        <b/>
        <sz val="12"/>
        <color rgb="FF000000"/>
        <rFont val="Arial"/>
        <family val="2"/>
      </rPr>
      <t>2.Linea de viajes seguros</t>
    </r>
    <r>
      <rPr>
        <sz val="12"/>
        <color rgb="FF000000"/>
        <rFont val="Arial"/>
        <family val="2"/>
      </rPr>
      <t xml:space="preserve"> 
3162729715
</t>
    </r>
  </si>
  <si>
    <t>Nariño</t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</si>
  <si>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 manga larga para el sol, pava o gorra, botas de seguridad, jeans, repelente, bloqueador y  buena hidratación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Clima templado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Evitar el contacto con las mascotas.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a su jefe inmediato, no se auto mediques, ni aceptes recomendaciones del personal farmacéutico.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Dirigirse a las veredas o corregimientos acompañados de un funcionario de la alcaldía.
</t>
    </r>
    <r>
      <rPr>
        <b/>
        <sz val="12"/>
        <color rgb="FF000000"/>
        <rFont val="Arial"/>
        <family val="2"/>
      </rPr>
      <t>6</t>
    </r>
    <r>
      <rPr>
        <sz val="12"/>
        <color rgb="FF000000"/>
        <rFont val="Arial"/>
        <family val="2"/>
      </rPr>
      <t xml:space="preserve">. Si visitas zonas rurales e identificas que necesitas Elementos de protección personal (EPP) adicionales, solicitarlos al área SST. 
</t>
    </r>
  </si>
  <si>
    <r>
      <t xml:space="preserve">Se recomienda:                    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 Para el desplazamiento por las vías del municipio se recomienda camioneta 4X4 con GPS.                                                                         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Llevar alimentos, snacks y líquidos por si presenta alguna eventualidad en la vía.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Llevar dinero en efectivo (en territorio no siempre reciben transferencias o QR). 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Los conductores deben permanecer cerca del personal en comisión y estar identificados al igual que el vehículo.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tomas medicamentos recuerda llevarlos contigo.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</si>
  <si>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rPr>
        <sz val="12"/>
        <color rgb="FF000000"/>
        <rFont val="Arial"/>
        <family val="2"/>
      </rPr>
      <t xml:space="preserve">Tener presente para la comisión: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Tener en cuenta que entre los municipios de Argelia – Nariño se presenta pare y siga por trabajo en la vía  (construcción de puente elevado).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Validar con el enlace del municipio la situación de orden público.
</t>
    </r>
    <r>
      <rPr>
        <b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 xml:space="preserve">. Comunicarse  al numeral #767 para obtener información sobre el estado actual de las vías. </t>
    </r>
  </si>
  <si>
    <r>
      <t>1.Línea de bomberos</t>
    </r>
    <r>
      <rPr>
        <sz val="12"/>
        <color rgb="FF000000"/>
        <rFont val="Arial"/>
        <family val="2"/>
      </rPr>
      <t xml:space="preserve">
3206285154</t>
    </r>
    <r>
      <rPr>
        <b/>
        <sz val="12"/>
        <color rgb="FF000000"/>
        <rFont val="Arial"/>
        <family val="2"/>
      </rPr>
      <t xml:space="preserve">
2.Linea de viajes seguros</t>
    </r>
    <r>
      <rPr>
        <sz val="12"/>
        <color rgb="FF000000"/>
        <rFont val="Arial"/>
        <family val="2"/>
      </rPr>
      <t xml:space="preserve">
3162729715</t>
    </r>
  </si>
  <si>
    <t>Yalí</t>
  </si>
  <si>
    <t>3 horas 22 minutos</t>
  </si>
  <si>
    <r>
      <t xml:space="preserve">Se recomienda:          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hidratación.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Siempre se deben dirigir a las veredas  acompañados de un funcionario de la alcaldía, para que  puedan ser direccionados al lugar de los mejoramientos y sea reconocido por los habitantes del lugar.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 una condición de salud debe reportarla al área de seguridad y salud en el trabajo y a su jefe inmediato, no se auto mediques, ni acepte recomendaciones del personal farmacéutico.                                                                                                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Tener precaución  con los lugares donde va a consumir los alimentos.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Clima templado.
6. Si visitas zonas rurales e identificas que necesitas Elementos de protección personal (EPP) adicionales, solicitarlos al área SST. 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</si>
  <si>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Estar atentos a la vía ya que hay algunos tramos en muy mal estado por fallas geológicas, lo que no permite una adecuada movilidad y presenta algunos inconvenientes a la hora de transitar.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Para el desplazamiento por las vías del municipio se recomienda camioneta 4X4 con GPS.                                           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Los conductores deben permanecer cerca del personal en comisión y estar identificado al igual que el vehículo.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Llevar alimentos, snacks y líquidos en caso de que se presente alguna eventualidad en la vía.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tomas medicamentos recuerda llevarlos contigo.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</si>
  <si>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t xml:space="preserve">Tener presente para la comisión: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Entre el sector Yalí y Vegachí se presentan retenes de grupos armados. 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Validar con el enlace del municipio la situación de orden público ya que es zona roja.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Se sugiere: En caso de encontrarse con grupos armados acatar sus indicaciones, no hablar más de lo indicado, responder solo a las preguntas que les realizan y no hacer uso del celular durante la conversación con  estos.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 Comunicarse  al numeral #767 para obtener información sobre el estado actual de las vías.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
</t>
    </r>
  </si>
  <si>
    <r>
      <rPr>
        <b/>
        <sz val="12"/>
        <color rgb="FF000000"/>
        <rFont val="Arial"/>
        <family val="2"/>
      </rPr>
      <t xml:space="preserve">
1.Línea de viajes seguros 
</t>
    </r>
    <r>
      <rPr>
        <sz val="12"/>
        <color rgb="FF000000"/>
        <rFont val="Arial"/>
        <family val="2"/>
      </rPr>
      <t xml:space="preserve">3162729715.
</t>
    </r>
    <r>
      <rPr>
        <b/>
        <sz val="12"/>
        <color rgb="FF000000"/>
        <rFont val="Arial"/>
        <family val="2"/>
      </rPr>
      <t xml:space="preserve">2. Línea de bomberos
</t>
    </r>
    <r>
      <rPr>
        <sz val="12"/>
        <color rgb="FF000000"/>
        <rFont val="Arial"/>
        <family val="2"/>
      </rPr>
      <t xml:space="preserve">3206289319 - 3043737966 </t>
    </r>
  </si>
  <si>
    <t>Amalfi</t>
  </si>
  <si>
    <t>3 horas 11 minutos</t>
  </si>
  <si>
    <r>
      <rPr>
        <sz val="12"/>
        <color rgb="FF000000"/>
        <rFont val="Arial"/>
        <family val="2"/>
      </rP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 manga larga para el sol, pava o gorra, botas de seguridad, jeans, repelente, bloqueador y buena hidratación.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Clima caliente.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 una condición de salud repórtela al área de seguridad y salud en el trabajo y a su jefe inmediato, no se auto medique, ni acepte recomendaciones del personal farmacéutico.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 el contacto con mascotas.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</si>
  <si>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
 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 Llevar alimentos, snacks y líquidos de ser necesario en caso de una eventualidad en la vía.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Llevar dinero en efectivo (en territorio, no siempre reciben transferencias o QR).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Camioneta con volcó 4x4, GPS.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Los conductores deben permanecer  cerca del personal en comisión y estar identificado al igual que el vehículo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Si tomas medicamentos recuerda llevarlos contigo.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</si>
  <si>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rPr>
        <sz val="12"/>
        <color rgb="FF000000"/>
        <rFont val="Arial"/>
        <family val="2"/>
      </rPr>
      <t xml:space="preserve">Tener presente para la comisión: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Se pueden presentar pare y siga por deslizamiento de tierra, se recomienda salir con tiempo.  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Validar con el enlace del municipio la situación  de orden público ya que es zona roja  en la parte rural y urbana.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Se sugiere: En caso de encontrarse con grupos armados acatar sus indicaciones, no hablar más de lo indicado, responder a las preguntas que le hacen y no hacer uso del celular durante la conversación con los mismos.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 Comunicarse  al numeral #767 para obtener información sobre el estado actual de las vías.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
</t>
    </r>
  </si>
  <si>
    <r>
      <rPr>
        <b/>
        <sz val="12"/>
        <color rgb="FF000000"/>
        <rFont val="Arial"/>
        <family val="2"/>
      </rPr>
      <t xml:space="preserve">
1. Línea de bomberos</t>
    </r>
    <r>
      <rPr>
        <sz val="12"/>
        <color rgb="FF000000"/>
        <rFont val="Arial"/>
        <family val="2"/>
      </rPr>
      <t xml:space="preserve"> 3137111917 3104267578
</t>
    </r>
    <r>
      <rPr>
        <b/>
        <sz val="12"/>
        <color rgb="FF000000"/>
        <rFont val="Arial"/>
        <family val="2"/>
      </rPr>
      <t xml:space="preserve">2.Línea de viajes seguros  
</t>
    </r>
    <r>
      <rPr>
        <sz val="12"/>
        <color rgb="FF000000"/>
        <rFont val="Arial"/>
        <family val="2"/>
      </rPr>
      <t xml:space="preserve">3162729715. </t>
    </r>
  </si>
  <si>
    <t>Sabanalarga</t>
  </si>
  <si>
    <t>3 horas</t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</si>
  <si>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 manga larga para el sol, pava o gorra, botas de seguridad, jeans, repelente, bloqueador y  buena hidratación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Clima cálido                 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tu jefe inmediato, no te auto mediques, ni aceptes recomendaciones del personal farmacéutico.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 el contacto con mascotas.                                               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Reconoce tu organismo y evita consumir alimentos que te generen malestar estomacal.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</si>
  <si>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                                                                          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Para el desplazamiento por las vías del municipio camioneta 4X4 con GPS, para ingreso a las veredas se hace en transporte no convencional (mular)                                                                     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Llevar alimentos, snacks y líquidos de ser necesario en caso de una eventualidad en la vía.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efectivo ya que no siempre se pueden hacer pago por trasferencias o código QR.
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.Por trabajos en el Túnel de Toyo y Autopista al mar, en ocasiones la movilidad es restringida en horarios específicos.  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tomas medicamentos recuerda llevarlos contigo.
</t>
    </r>
    <r>
      <rPr>
        <b/>
        <sz val="12"/>
        <color rgb="FF000000"/>
        <rFont val="Arial"/>
        <family val="2"/>
      </rPr>
      <t xml:space="preserve">7. </t>
    </r>
    <r>
      <rPr>
        <sz val="12"/>
        <color rgb="FF000000"/>
        <rFont val="Arial"/>
        <family val="2"/>
      </rPr>
      <t>Los conductores deberán realizar pausas activas a lo largo de recorrido.</t>
    </r>
  </si>
  <si>
    <r>
      <t xml:space="preserve">Se recomienda: 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.Validar con el enlace del municipio la situación de orden público.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Comunicarse  al numeral #767 para obtener información sobre el estado actual de las vías. 
</t>
    </r>
    <r>
      <rPr>
        <b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 xml:space="preserve">. Confirmar si se encuentra los propietarios de las viviendas a visitar, (tener presente  que se puede presentar hostigamiento en cualquier momento).
</t>
    </r>
  </si>
  <si>
    <r>
      <t>1. Línea de bomberos</t>
    </r>
    <r>
      <rPr>
        <sz val="12"/>
        <color rgb="FF000000"/>
        <rFont val="Arial"/>
        <family val="2"/>
      </rPr>
      <t xml:space="preserve">
3206918580 - 3104270696</t>
    </r>
    <r>
      <rPr>
        <b/>
        <sz val="12"/>
        <color rgb="FF000000"/>
        <rFont val="Arial"/>
        <family val="2"/>
      </rPr>
      <t xml:space="preserve">
2.Línea de viajes seguros </t>
    </r>
    <r>
      <rPr>
        <sz val="12"/>
        <color rgb="FF000000"/>
        <rFont val="Arial"/>
        <family val="2"/>
      </rPr>
      <t xml:space="preserve">
3162729715. </t>
    </r>
  </si>
  <si>
    <t>Tarso</t>
  </si>
  <si>
    <t>2 horas 9 minutos</t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</si>
  <si>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3103930590-6048458665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</si>
  <si>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Caicedo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</si>
  <si>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Estar atentos a la vía ya que hay algunos tramos en muy mal estado por fallas geológicas.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Camioneta 4x4 y GPS.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vehículo.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Llevar dinero en efectivo (en territorio, no siempre reciben transferencias o QR). 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Si tomas medicamentos recuerda llevarlos contigo. 
</t>
    </r>
    <r>
      <rPr>
        <b/>
        <sz val="12"/>
        <color rgb="FF000000"/>
        <rFont val="Arial"/>
        <family val="2"/>
      </rPr>
      <t xml:space="preserve">7. </t>
    </r>
    <r>
      <rPr>
        <sz val="12"/>
        <color rgb="FF000000"/>
        <rFont val="Arial"/>
        <family val="2"/>
      </rPr>
      <t xml:space="preserve"> Llevar comida o snack para el camino y buena hidratación.
</t>
    </r>
    <r>
      <rPr>
        <b/>
        <sz val="12"/>
        <color rgb="FF000000"/>
        <rFont val="Arial"/>
        <family val="2"/>
      </rPr>
      <t/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</si>
  <si>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enlace del municipio el estado de las vías, orden público ya que es zona roja  en la parte rural y urbana.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Confirmar si se encuentran los propietarios de las viviendas a visitar.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Tener presente que se debe estar siempre atento ya que se puede presentar hostigamiento en cualquier momento.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 xml:space="preserve">Se sugiere: </t>
    </r>
    <r>
      <rPr>
        <sz val="12"/>
        <color rgb="FF000000"/>
        <rFont val="Arial"/>
        <family val="2"/>
      </rPr>
      <t xml:space="preserve">En caso de encontrarse con grupos armados acatar sus indicaciones, no hablar más de lo indicado, responder solo lo preguntado y no hacer uso del celular durante la conversación  con los mismos. 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</si>
  <si>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3137385334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</si>
  <si>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Concordia</t>
  </si>
  <si>
    <r>
      <t xml:space="preserve">
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Portar camisas corporativas manga larga para el sol, pava o gorra, botas de seguridad, jeans, repelente, bloqueador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Clima templado-frio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su jefe inmediato, no se  auto mediques, ni aceptes recomendaciones del personal farmacéutico.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Evitar el contacto con mascotas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buena hidratacion,en lo posible que las bebidas sean siempre embotelladas.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Se debe tener precaución al caminar por terrenos irregulares (veredas) ya que se pueden sufrir caídas a diferente nivel.
</t>
    </r>
    <r>
      <rPr>
        <b/>
        <sz val="12"/>
        <color rgb="FF000000"/>
        <rFont val="Arial"/>
        <family val="2"/>
      </rPr>
      <t>7</t>
    </r>
    <r>
      <rPr>
        <sz val="12"/>
        <color rgb="FF000000"/>
        <rFont val="Arial"/>
        <family val="2"/>
      </rPr>
      <t xml:space="preserve">. Si visitas zonas rurales e identificas que necesitas Elementos de protección personal (EPP) adicionales, solicitarlos al área SST. </t>
    </r>
  </si>
  <si>
    <r>
      <t xml:space="preserve">
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antes de iniciar la comisión con el enlace del municipio la situación de orden público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Por presencia de grupos al margen de la ley,  no se  debe transitar entre los municipios  Concordia - Betulia  y  Urrao- Betulia  después de las 6:00 p.m. si no es posible la salida antes  de esta hora,  se sugiere  pernota en el municipio, ya que empieza a ver presencia de estos grupos en las vías. 
</t>
    </r>
    <r>
      <rPr>
        <b/>
        <sz val="12"/>
        <color rgb="FF000000"/>
        <rFont val="Arial"/>
        <family val="2"/>
      </rPr>
      <t xml:space="preserve">3. Se sugiere: </t>
    </r>
    <r>
      <rPr>
        <sz val="12"/>
        <color rgb="FF000000"/>
        <rFont val="Arial"/>
        <family val="2"/>
      </rPr>
      <t xml:space="preserve">En caso de encontrarse con grupos armados acatar sus indicaciones, responder solo lo preguntado y no hacer uso del celular durante la conversación con los mismos. 
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</si>
  <si>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3105345883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</si>
  <si>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Z20</t>
  </si>
  <si>
    <t>Hispania</t>
  </si>
  <si>
    <t>2 horas 7 minutos</t>
  </si>
  <si>
    <r>
      <t xml:space="preserve">
Se recomienda: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hidratación, protección solar y hidratación.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 con el enlace del municipio o coordinador por parte del contratista.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 Si pernocta, al terminar las actividades laborales, evitar estar en lugares alejados del lugar de descanso o del equipo de comisión.      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Tener precaución al caminar por terrenos irregulares lo cual puede generar caídas a diferente nivel.                                                      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el contacto con  mascotas.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te auto mediques, ni aceptes recomendaciones del personal farmacéutico.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Clima cálido.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</si>
  <si>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3104564460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</si>
  <si>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SR03</t>
  </si>
  <si>
    <t>Caracolí</t>
  </si>
  <si>
    <t>Magdalena medio</t>
  </si>
  <si>
    <t>2 horas 59 minutos</t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</si>
  <si>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Estar debidamente identificados (carné, camisas corporativas manga larga, pava o gorra, botas de seguridad, jeans, repelente, bloqueador y  buena hidratación).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Clima cálido. 
</t>
    </r>
    <r>
      <rPr>
        <b/>
        <sz val="12"/>
        <color theme="1"/>
        <rFont val="Arial"/>
        <family val="2"/>
      </rPr>
      <t>4.</t>
    </r>
    <r>
      <rPr>
        <sz val="12"/>
        <color theme="1"/>
        <rFont val="Arial"/>
        <family val="2"/>
      </rPr>
      <t xml:space="preserve"> Evitar el contacto con  mascotas 
</t>
    </r>
    <r>
      <rPr>
        <b/>
        <sz val="12"/>
        <color theme="1"/>
        <rFont val="Arial"/>
        <family val="2"/>
      </rPr>
      <t>5.</t>
    </r>
    <r>
      <rPr>
        <sz val="12"/>
        <color theme="1"/>
        <rFont val="Arial"/>
        <family val="2"/>
      </rPr>
      <t xml:space="preserve"> Tener precaución al caminar por terrenos irregulares lo cual puede generar caídas al mismo nivel.
</t>
    </r>
    <r>
      <rPr>
        <b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 xml:space="preserve">. Evitar desplazamientos por rutas desconocidas o no convencionales.
</t>
    </r>
    <r>
      <rPr>
        <b/>
        <sz val="12"/>
        <color theme="1"/>
        <rFont val="Arial"/>
        <family val="2"/>
      </rPr>
      <t>7.</t>
    </r>
    <r>
      <rPr>
        <sz val="12"/>
        <color theme="1"/>
        <rFont val="Arial"/>
        <family val="2"/>
      </rPr>
      <t xml:space="preserve"> Evitar consumir agua de la llave esta no es potable.
</t>
    </r>
    <r>
      <rPr>
        <b/>
        <sz val="12"/>
        <color theme="1"/>
        <rFont val="Arial"/>
        <family val="2"/>
      </rPr>
      <t>8.</t>
    </r>
    <r>
      <rPr>
        <sz val="12"/>
        <color theme="1"/>
        <rFont val="Arial"/>
        <family val="2"/>
      </rPr>
      <t xml:space="preserve"> Si presenta una condición de salud repórtala al área de seguridad y salud en el trabajo y al jefe inmediato, no se auto mediques, ni aceptes recomendaciones del personal farmacéutico.
</t>
    </r>
    <r>
      <rPr>
        <b/>
        <sz val="12"/>
        <color theme="1"/>
        <rFont val="Arial"/>
        <family val="2"/>
      </rPr>
      <t xml:space="preserve">9. </t>
    </r>
    <r>
      <rPr>
        <sz val="12"/>
        <color theme="1"/>
        <rFont val="Arial"/>
        <family val="2"/>
      </rPr>
      <t xml:space="preserve">Si visitas zonas rurales e identificas que necesitas Elementos de protección personal (EPP) adicionales, solicitarlos al área SST. 
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</si>
  <si>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con volcó y GPS. 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Llevar alimentos o snack para el camino.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Llevar dinero en efectivo (en territorio, no siempre reciben transferencias o QR). 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Si tomas medicamentos recuerda llevarlos contigo. </t>
    </r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</si>
  <si>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Validar  con el enlace del municipio la situación de orden público ya que es zona roja  en la parte rural.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Comunicarse  al numeral #767 para obtener información sobre el estado actual de las vías. 
4</t>
    </r>
    <r>
      <rPr>
        <b/>
        <sz val="12"/>
        <color rgb="FF000000"/>
        <rFont val="Arial"/>
        <family val="2"/>
      </rPr>
      <t>.</t>
    </r>
    <r>
      <rPr>
        <sz val="12"/>
        <color rgb="FF000000"/>
        <rFont val="Arial"/>
        <family val="2"/>
      </rPr>
      <t xml:space="preserve"> Confirmar si se encuentra los propietarios de las viviendas a visitar, (tener presente  que se puede presentar hostigamiento en cualquier momento).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Se sugiere:</t>
    </r>
    <r>
      <rPr>
        <sz val="12"/>
        <color rgb="FF000000"/>
        <rFont val="Arial"/>
        <family val="2"/>
      </rPr>
      <t xml:space="preserve"> En caso de encontrarse con grupos armados acatar sus indicaciones, responder solo lo preguntado y no hacer uso del celular durante la conversación con los mismos.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</si>
  <si>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 xml:space="preserve">1. Línea de bomberos 
</t>
    </r>
    <r>
      <rPr>
        <sz val="12"/>
        <color rgb="FF000000"/>
        <rFont val="Arial"/>
        <family val="2"/>
      </rPr>
      <t>3146868833</t>
    </r>
    <r>
      <rPr>
        <sz val="12"/>
        <color rgb="FF000000"/>
        <rFont val="Arial"/>
        <family val="2"/>
      </rPr>
      <t xml:space="preserve">
</t>
    </r>
    <r>
      <rPr>
        <b/>
        <sz val="12"/>
        <color rgb="FF000000"/>
        <rFont val="Arial"/>
        <family val="2"/>
      </rPr>
      <t>2.Línea de viajes seguros</t>
    </r>
    <r>
      <rPr>
        <sz val="12"/>
        <color rgb="FF000000"/>
        <rFont val="Arial"/>
        <family val="2"/>
      </rPr>
      <t xml:space="preserve">  
3162729715. 
</t>
    </r>
  </si>
  <si>
    <t>Betulia</t>
  </si>
  <si>
    <t>2 horas 56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</si>
  <si>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Portar camisas corporativas manga larga para el sol, pava o gorra, botas de seguridad, jeans, repelente, bloqueador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Clima templado-frio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su jefe inmediato, no se  auto mediques, ni aceptes recomendaciones del personal farmacéutico.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Evitar el contacto con mascotas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buena hidratacion,en lo posible que las bebidas sean siempre embotelladas.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Se debe tener precaución al caminar por terrenos irregulares (veredas) ya que se pueden sufrir caídas a diferente nivel.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</si>
  <si>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 3176950091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</si>
  <si>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Campamento</t>
  </si>
  <si>
    <t>2 horas 54 minutos</t>
  </si>
  <si>
    <r>
      <t xml:space="preserve">Se recomienda:          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hidratación.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 acompañados de un funcionario de la alcaldía con el fin que pueda direccionarlos a lugar del mejoramientos y sea reconocido por los habitantes del lugar.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tu jefe inmediato, no te auto mediques, ni aceptes recomendaciones del personal farmacéutico.                                                       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Reconoce tu organismo y evita consumir alimentos que te generen malestar estomacal.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</si>
  <si>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Para el desplazamiento por las vías del municipio se recomienda camioneta 4X4 con GPS.                                                                     </t>
    </r>
    <r>
      <rPr>
        <b/>
        <sz val="12"/>
        <color rgb="FF000000"/>
        <rFont val="Arial"/>
        <family val="2"/>
      </rPr>
      <t>2</t>
    </r>
    <r>
      <rPr>
        <b/>
        <sz val="12"/>
        <color rgb="FF000000"/>
        <rFont val="Arial"/>
        <family val="2"/>
      </rPr>
      <t>.</t>
    </r>
    <r>
      <rPr>
        <sz val="12"/>
        <color rgb="FF000000"/>
        <rFont val="Arial"/>
        <family val="2"/>
      </rPr>
      <t xml:space="preserve"> Los conductores deben de estar cerca del personal en comisión y estar identificado al igual que el vehículo. 
</t>
    </r>
    <r>
      <rPr>
        <b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 xml:space="preserve">. Llevar alimentos, snacks y líquidos de ser necesario en caso de una eventualidad en la vía.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dinero en efectivo (en territorio, no siempre reciben transferencias o QR). 
5.Si tomas medicamentos recuerda llevarlos contigo. 
 </t>
    </r>
  </si>
  <si>
    <r>
      <t xml:space="preserve">Tener presente para la comisión: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Validar con el municipio el estado de las vías, orden público.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Se sugiere: En caso de encontrarse con grupos armados acatar sus indicaciones, no hablar más de lo indicado, responder solo lo preguntado y no hacer uso del celular durante la conversación  con los mismos.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en las veredas los vehículos deben de transitar con las ventanas abajo, a una velocidad moderada por vías angostas.                                        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No transitar por las vías en la noche.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</si>
  <si>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313 7966258
</t>
    </r>
    <r>
      <rPr>
        <b/>
        <sz val="12"/>
        <color rgb="FF000000"/>
        <rFont val="Arial"/>
        <family val="2"/>
      </rPr>
      <t>2.Línea de viajes seguros</t>
    </r>
    <r>
      <rPr>
        <sz val="12"/>
        <color rgb="FF000000"/>
        <rFont val="Arial"/>
        <family val="2"/>
      </rPr>
      <t xml:space="preserve">  
3162729715. </t>
    </r>
  </si>
  <si>
    <t>Angostura</t>
  </si>
  <si>
    <t>2 horas 52 minutos</t>
  </si>
  <si>
    <r>
      <t xml:space="preserve">Se recomienda:          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hidratación.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 acompañados de un funcionario de la alcaldía con el fin que pueda direccionarlos a lugar del mejoramientos y sea reconocido por los habitantes del lugar.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tu jefe inmediato, no te auto mediques, ni aceptes recomendaciones del personal farmacéutico.                                                       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Reconoce tu organismo y evita consumir alimentos que te generen malestar estomacal.
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. Si visitas zonas rurales e identificas que necesitas Elementos de protección personal (EPP) adicionales, solicitarlos al área SST. </t>
    </r>
  </si>
  <si>
    <r>
      <rPr>
        <sz val="12"/>
        <color rgb="FF000000"/>
        <rFont val="Arial"/>
        <family val="2"/>
      </rP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Para el desplazamiento por las vías del municipio se recomienda camioneta 4X4 con GPS.                                           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Los conductores deben de estar cerca del personal en comisión y estar identificado al igual que el vehículo. 
</t>
    </r>
  </si>
  <si>
    <r>
      <t xml:space="preserve">Tener presente para la comisión: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Validar con el municipio el estado de las vías, orden público.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Se sugiere: En caso de encontrarse con grupos armados acatar sus indicaciones, no hablar más de lo indicado, responder solo lo preguntado y no hacer uso del celular durante la conversación  con los mismos.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en las veredas los vehículos deben de transitar con las ventanas abajo, a una velocidad moderada por vías angostas.                                        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No transitar por las vías en la noche.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</si>
  <si>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0348645052-3106825239
</t>
    </r>
    <r>
      <rPr>
        <b/>
        <sz val="12"/>
        <color rgb="FF000000"/>
        <rFont val="Arial"/>
        <family val="2"/>
      </rPr>
      <t>2.Línea de viajes seguros</t>
    </r>
    <r>
      <rPr>
        <sz val="12"/>
        <color rgb="FF000000"/>
        <rFont val="Arial"/>
        <family val="2"/>
      </rPr>
      <t xml:space="preserve">  
3162729715. </t>
    </r>
  </si>
  <si>
    <t>Frontino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</si>
  <si>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Portar camisas corporativas manga larga para el sol, pava o gorra, botas de seguridad, jeans, repelente, bloqueador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Clima cálido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al jefe inmediato, no se  auto mediques, ni aceptes recomendaciones del personal farmacéutico.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 el contacto con mascotas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Tener presente las practicas seguras para el transporte no convencional (mular).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</si>
  <si>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Estar atentos a la vía ya que hay algunos tramos en muy mal estado por fallas geológicas, lo que no permite una adecuada movilidad y presenta algunos inconvenientes a la hora de transitar.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Camioneta 4x4 y GPS, algunas veredas se llega en transporte no convencional (mular).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alimentos o snack para el camino. 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Llevar dinero en efectivo (en territorio, no siempre reciben transferencias o QR). 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Si tomas medicamentos recuerda llevarlos contigo. 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</si>
  <si>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Validar  con el enlace del municipio la situación de orden público ya que es zona roja  en la parte rural y urbana.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Confirmar si se encuentra los propietarios de las viviendas a visitar, (tener presente  que se puede presentar hostigamiento en cualquier momento).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Cuando se hace visitas a los resguardo  debe haber   diálogos con el gobernador menor y mayor de la comunidad (resguardo), para que informe a los grupos que manejan la zona (grupo al margen de la ley)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Se sugiere:</t>
    </r>
    <r>
      <rPr>
        <sz val="12"/>
        <color rgb="FF000000"/>
        <rFont val="Arial"/>
        <family val="2"/>
      </rPr>
      <t xml:space="preserve"> En caso de encontrarse con grupos armados acatar sus indicaciones, responder solo lo preguntado y no hacer uso del celular durante la conversación con los mismos. 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</si>
  <si>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3116718512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</si>
  <si>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Maceo</t>
  </si>
  <si>
    <t>2 horas 49 minutos</t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</si>
  <si>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Estar debidamente identificados (carné, camisas corporativas manga larga, pava o gorra, botas de seguridad, jeans, repelente, bloqueador y  buena hidratación).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Clima caliente. 
</t>
    </r>
    <r>
      <rPr>
        <b/>
        <sz val="12"/>
        <color theme="1"/>
        <rFont val="Arial"/>
        <family val="2"/>
      </rPr>
      <t>4.</t>
    </r>
    <r>
      <rPr>
        <sz val="12"/>
        <color theme="1"/>
        <rFont val="Arial"/>
        <family val="2"/>
      </rPr>
      <t xml:space="preserve"> Evitar el contacto con  mascotas 
</t>
    </r>
    <r>
      <rPr>
        <b/>
        <sz val="12"/>
        <color theme="1"/>
        <rFont val="Arial"/>
        <family val="2"/>
      </rPr>
      <t>5.</t>
    </r>
    <r>
      <rPr>
        <sz val="12"/>
        <color theme="1"/>
        <rFont val="Arial"/>
        <family val="2"/>
      </rPr>
      <t xml:space="preserve"> Tener precaución al caminar por terrenos irregulares lo cual puede generar caídas al mismo nivel.
</t>
    </r>
    <r>
      <rPr>
        <b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 xml:space="preserve">. Evitar desplazamientos por rutas desconocidas o no convencionales.
</t>
    </r>
    <r>
      <rPr>
        <b/>
        <sz val="12"/>
        <color theme="1"/>
        <rFont val="Arial"/>
        <family val="2"/>
      </rPr>
      <t>7.</t>
    </r>
    <r>
      <rPr>
        <sz val="12"/>
        <color theme="1"/>
        <rFont val="Arial"/>
        <family val="2"/>
      </rPr>
      <t xml:space="preserve"> Evitar consumir agua de la llave esta no es potable.
</t>
    </r>
    <r>
      <rPr>
        <b/>
        <sz val="12"/>
        <color theme="1"/>
        <rFont val="Arial"/>
        <family val="2"/>
      </rPr>
      <t>8.</t>
    </r>
    <r>
      <rPr>
        <sz val="12"/>
        <color theme="1"/>
        <rFont val="Arial"/>
        <family val="2"/>
      </rPr>
      <t xml:space="preserve"> Si presenta una condición de salud repórtala al área de seguridad y salud en el trabajo y al jefe inmediato, no se auto mediques, ni aceptes recomendaciones del personal farmacéutico.
</t>
    </r>
    <r>
      <rPr>
        <b/>
        <sz val="12"/>
        <color theme="1"/>
        <rFont val="Arial"/>
        <family val="2"/>
      </rPr>
      <t>9.</t>
    </r>
    <r>
      <rPr>
        <sz val="12"/>
        <color theme="1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</si>
  <si>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con volcó y GPS. 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Tener presente que hay pare y siga en la vía maceo - puerto berrio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alimentos o snack para el camino. 
</t>
    </r>
    <r>
      <rPr>
        <b/>
        <sz val="12"/>
        <color rgb="FF000000"/>
        <rFont val="Arial"/>
        <family val="2"/>
      </rPr>
      <t>5.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Llevar dinero en efectivo (en territorio, no siempre reciben transferencias o QR). 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Si tomas medicamentos recuerda llevarlos contigo. </t>
    </r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</si>
  <si>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Validar  con el enlace del municipio la situación de orden público ya que es zona roja  en la parte rural.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Confirmar si se encuentra los propietarios de las viviendas a visitar, (tener presente  que se puede presentar hostigamiento en cualquier momento).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Se sugiere:</t>
    </r>
    <r>
      <rPr>
        <sz val="12"/>
        <color rgb="FF000000"/>
        <rFont val="Arial"/>
        <family val="2"/>
      </rPr>
      <t xml:space="preserve"> En caso de encontrarse con grupos armados acatar sus indicaciones, responder solo lo preguntado y no hacer uso del celular durante la conversación con los mismos.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</si>
  <si>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 xml:space="preserve">1. Línea de bomberos
</t>
    </r>
    <r>
      <rPr>
        <sz val="12"/>
        <color rgb="FF000000"/>
        <rFont val="Arial"/>
        <family val="2"/>
      </rPr>
      <t xml:space="preserve">3146868833 </t>
    </r>
    <r>
      <rPr>
        <sz val="12"/>
        <color rgb="FF000000"/>
        <rFont val="Arial"/>
        <family val="2"/>
      </rPr>
      <t xml:space="preserve">
</t>
    </r>
    <r>
      <rPr>
        <b/>
        <sz val="12"/>
        <color rgb="FF000000"/>
        <rFont val="Arial"/>
        <family val="2"/>
      </rPr>
      <t>2.Línea de viajes seguros</t>
    </r>
    <r>
      <rPr>
        <sz val="12"/>
        <color rgb="FF000000"/>
        <rFont val="Arial"/>
        <family val="2"/>
      </rPr>
      <t xml:space="preserve">  
3162729715. 
</t>
    </r>
  </si>
  <si>
    <t>Támesis</t>
  </si>
  <si>
    <r>
      <t xml:space="preserve">
Se recomienda: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hidratación, protección solar y hidratación.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 con el enlace del municipio o coordinador por parte del contratista.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 Si pernocta, al terminar las actividades laborales, evitar estar en lugares alejados del lugar de descanso o del equipo de comisión.      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Tener precaución al caminar por terrenos irregulares lo cual puede generar caídas a diferente nivel.                                                      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el contacto con  mascotas.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te auto mediques, ni aceptes recomendaciones del personal farmacéutico.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Clima templado.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</si>
  <si>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 4x4 y GPS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Llevar alimentos, snacks y líquidos de ser necesario en caso de una eventualidad en la vía.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dinero en efectivo (en territorio, no siempre reciben transferencias o QR). 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tomas medicamentos recuerda llevarlos contigo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Por estado de las vía se sugiere llegar a támesis por la pintada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</si>
  <si>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3105930444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</si>
  <si>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Betania</t>
  </si>
  <si>
    <t>2 horas 45 minutos</t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</si>
  <si>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3207452011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</si>
  <si>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Uramita</t>
  </si>
  <si>
    <t>occidente</t>
  </si>
  <si>
    <t>2 horas 44 minutos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</si>
  <si>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4x4 y GPS. 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Los conductores deben en lo posible estar cerca del personal en comisión y estar identificado al igual que el vehículo.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Llevar comida o snack para el camino y buena hidratación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dinero en efectivo (en territorio, no siempre reciben transferencias o QR).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tomas medicamentos recuerda llevarlos contigo. 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</si>
  <si>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enlace del municipio el estado de las vías, orden público ya que es zona roja  en la parte rural y urbana.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Confirmar si se encuentran los propietarios de las viviendas a visitar.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Tener presente que se debe estar siempre atento ya que se puede presentar hostigamiento en cualquier momento.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Cuando se pernota  no estar por fuera de los alojamiento después de las 7:00 de la noche ya que es más complicado por el tema de los grupos armados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 xml:space="preserve">Se sugiere: </t>
    </r>
    <r>
      <rPr>
        <sz val="12"/>
        <color rgb="FF000000"/>
        <rFont val="Arial"/>
        <family val="2"/>
      </rPr>
      <t xml:space="preserve">En caso de encontrarse con grupos armados acatar sus indicaciones, no hablar más de lo indicado, responder solo lo preguntado y no hacer uso del celular durante la conversación  con los mismos. </t>
    </r>
  </si>
  <si>
    <t>San José de La Montaña</t>
  </si>
  <si>
    <t>2 horas 42 minutos</t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</si>
  <si>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Estar debidamente identificados (carné, camisas corporativas manga larga, chaqueta para el frio, pava o gorra, botas de seguridad, jeans, repelente, bloqueador y  buena hidratación).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Clima frio. 
</t>
    </r>
    <r>
      <rPr>
        <b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. Evitar el contacto con  mascotas 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 xml:space="preserve">Tener precaución al caminar por terrenos irregulares lo cual puede generar caídas al mismo nivel.
</t>
    </r>
    <r>
      <rPr>
        <b/>
        <sz val="12"/>
        <color theme="1"/>
        <rFont val="Arial"/>
        <family val="2"/>
      </rPr>
      <t>5.</t>
    </r>
    <r>
      <rPr>
        <sz val="12"/>
        <color theme="1"/>
        <rFont val="Arial"/>
        <family val="2"/>
      </rPr>
      <t xml:space="preserve"> Evitar desplazamientos por rutas desconocidas o no convencionales.
</t>
    </r>
    <r>
      <rPr>
        <b/>
        <sz val="12"/>
        <color theme="1"/>
        <rFont val="Arial"/>
        <family val="2"/>
      </rPr>
      <t xml:space="preserve">6. </t>
    </r>
    <r>
      <rPr>
        <sz val="12"/>
        <color theme="1"/>
        <rFont val="Arial"/>
        <family val="2"/>
      </rPr>
      <t xml:space="preserve">Evitar consumir agua de la llave esta no es potable.
</t>
    </r>
    <r>
      <rPr>
        <b/>
        <sz val="12"/>
        <color theme="1"/>
        <rFont val="Arial"/>
        <family val="2"/>
      </rPr>
      <t>7.</t>
    </r>
    <r>
      <rPr>
        <sz val="12"/>
        <color theme="1"/>
        <rFont val="Arial"/>
        <family val="2"/>
      </rPr>
      <t xml:space="preserve"> Si presenta una condición de salud repórtala al área de seguridad y salud en el trabajo y al jefe inmediato, no se auto mediques, ni aceptes recomendaciones del personal farmacéutico.
</t>
    </r>
    <r>
      <rPr>
        <b/>
        <sz val="12"/>
        <color theme="1"/>
        <rFont val="Arial"/>
        <family val="2"/>
      </rPr>
      <t>8.</t>
    </r>
    <r>
      <rPr>
        <sz val="12"/>
        <color theme="1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</si>
  <si>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Llevar alimentos, snacks y líquidos en caso de una eventualidad en la vía.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Llevar dinero en efectivo (en territorio, no siempre reciben transferencias o QR). 
</t>
    </r>
    <r>
      <rPr>
        <b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. Si tomas medicamentos, llévalos contigo.
</t>
    </r>
    <r>
      <rPr>
        <b/>
        <sz val="12"/>
        <color theme="1"/>
        <rFont val="Arial"/>
        <family val="2"/>
      </rPr>
      <t>4.</t>
    </r>
    <r>
      <rPr>
        <sz val="12"/>
        <color theme="1"/>
        <rFont val="Arial"/>
        <family val="2"/>
      </rPr>
      <t xml:space="preserve"> Para el desplazamiento por las vías del municipio se recomienda camioneta 4X4 con GPS.                                                                    
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</si>
  <si>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862 27 14 ext. 107
</t>
    </r>
    <r>
      <rPr>
        <b/>
        <sz val="12"/>
        <color rgb="FF000000"/>
        <rFont val="Arial"/>
        <family val="2"/>
      </rPr>
      <t>2.Línea de viajes seguros</t>
    </r>
    <r>
      <rPr>
        <sz val="12"/>
        <color rgb="FF000000"/>
        <rFont val="Arial"/>
        <family val="2"/>
      </rPr>
      <t xml:space="preserve">  
3162729715. </t>
    </r>
  </si>
  <si>
    <t>Pueblorrico</t>
  </si>
  <si>
    <t>2 horas 38 minutos</t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</si>
  <si>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3135993624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</si>
  <si>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San Luis</t>
  </si>
  <si>
    <t>2 horas 36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</si>
  <si>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Estar debidamente identificados (carné, camisas corporativas manga larga, pava o gorra, botas de seguridad, jeans, repelente, bloqueador y  buena hidratación).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Clima caliente.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Evitar el contacto con  mascotas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Tener precaución al caminar por terrenos irregulares lo cual puede generar caídas al mismo nivel.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desplazamientos por rutas desconocidas o no convencionales.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Evitar consumir agua de la llave esta no es potable.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presenta una condición de salud repórtala al área de seguridad y salud en el trabajo y al jefe inmediato, no se auto mediques, ni aceptes recomendaciones del personal farmacéutico.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</si>
  <si>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Para el desplazamiento por las vías del municipio se recomienda camioneta 4X4 con GPS.    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 Llevar alimentos, snacks y líquidos en caso de una eventualidad en la vía. 
</t>
    </r>
    <r>
      <rPr>
        <b/>
        <sz val="12"/>
        <color theme="1"/>
        <rFont val="Arial"/>
        <family val="2"/>
      </rPr>
      <t xml:space="preserve">3. </t>
    </r>
    <r>
      <rPr>
        <sz val="12"/>
        <color theme="1"/>
        <rFont val="Arial"/>
        <family val="2"/>
      </rPr>
      <t xml:space="preserve">Tener en cuenta que actualmente en arreglos en las vías.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 xml:space="preserve"> Llevar dinero en efectivo (en territorio no siempre reciben transferencias o QR). 
</t>
    </r>
    <r>
      <rPr>
        <b/>
        <sz val="12"/>
        <color theme="1"/>
        <rFont val="Arial"/>
        <family val="2"/>
      </rPr>
      <t xml:space="preserve">5. </t>
    </r>
    <r>
      <rPr>
        <sz val="12"/>
        <color theme="1"/>
        <rFont val="Arial"/>
        <family val="2"/>
      </rPr>
      <t xml:space="preserve">Los conductores deben permanecer cerca del personal en comisión y estar identificados al igual que el vehículo.
</t>
    </r>
    <r>
      <rPr>
        <b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 xml:space="preserve">. Tener precauciones al transitar  en la vía Medellín - Bogotá por alto flujo de robos.
</t>
    </r>
    <r>
      <rPr>
        <b/>
        <sz val="12"/>
        <color theme="1"/>
        <rFont val="Arial"/>
        <family val="2"/>
      </rPr>
      <t/>
    </r>
  </si>
  <si>
    <r>
      <t>1.Línea de bomberos</t>
    </r>
    <r>
      <rPr>
        <sz val="12"/>
        <color rgb="FF000000"/>
        <rFont val="Arial"/>
        <family val="2"/>
      </rPr>
      <t xml:space="preserve">
3122520828 - 3122520828</t>
    </r>
    <r>
      <rPr>
        <b/>
        <sz val="12"/>
        <color rgb="FF000000"/>
        <rFont val="Arial"/>
        <family val="2"/>
      </rPr>
      <t xml:space="preserve">
2.Linea de viajes seguros</t>
    </r>
    <r>
      <rPr>
        <sz val="12"/>
        <color rgb="FF000000"/>
        <rFont val="Arial"/>
        <family val="2"/>
      </rPr>
      <t xml:space="preserve">
3162729715</t>
    </r>
  </si>
  <si>
    <t>San Rafael</t>
  </si>
  <si>
    <t>2 horas 32 minutos</t>
  </si>
  <si>
    <r>
      <t>1.Línea de bomberos</t>
    </r>
    <r>
      <rPr>
        <sz val="12"/>
        <color rgb="FF000000"/>
        <rFont val="Arial"/>
        <family val="2"/>
      </rPr>
      <t xml:space="preserve">
8586070 - 3147301061</t>
    </r>
    <r>
      <rPr>
        <b/>
        <sz val="12"/>
        <color rgb="FF000000"/>
        <rFont val="Arial"/>
        <family val="2"/>
      </rPr>
      <t xml:space="preserve">
2.Linea de viajes seguros</t>
    </r>
    <r>
      <rPr>
        <sz val="12"/>
        <color rgb="FF000000"/>
        <rFont val="Arial"/>
        <family val="2"/>
      </rPr>
      <t xml:space="preserve">
3162729715</t>
    </r>
  </si>
  <si>
    <t>Valparaíso</t>
  </si>
  <si>
    <r>
      <t xml:space="preserve">Se recomienda: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hidratación, protección solar y hidratación.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 con el enlace del municipio o coordinador por parte del contratista.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 Si pernocta, al terminar las actividades laborales, evitar estar en lugares alejados del lugar de descanso o del equipo de comisión.      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Tener precaución al caminar por terrenos irregulares lo cual puede generar caídas a diferente nivel.                                                      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el contacto con  mascotas.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te auto mediques, ni aceptes recomendaciones del personal farmacéutico.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Clima cálido.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</si>
  <si>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3122855437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</si>
  <si>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Jericó</t>
  </si>
  <si>
    <t>2 horas 30 minutos</t>
  </si>
  <si>
    <r>
      <t xml:space="preserve">Se recomienda: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hidratación, protección solar.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 con el enlace del municipio o coordinador por parte del contratista.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 Si pernocta, al terminar las actividades laborales, evitar estar en lugares alejados del lugar de descanso o del equipo de comisión.      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Tener precaución al caminar por terrenos irregulares lo cual puede generar caídas a diferente nivel.                                                      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el contacto con  mascotas.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te auto mediques, ni aceptes recomendaciones del personal farmacéutico.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Clima frio.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</si>
  <si>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 3113016539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</si>
  <si>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Carolina del Príncipe</t>
  </si>
  <si>
    <t>2 horas 21 minutos</t>
  </si>
  <si>
    <r>
      <t xml:space="preserve">Se recomienda:          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hidratación.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 acompañados de un funcionario de la alcaldía con el fin que pueda direccionarlos a lugar del mejoramientos y sea reconocido por los habitantes del lugar.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tu jefe inmediato, no te auto mediques, ni aceptes recomendaciones del personal farmacéutico.                                                       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Reconoce tu organismo y evita consumir alimentos que te generen malestar estomacal.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</si>
  <si>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Tener presente para la comisión: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Validar con el municipio el estado de las vías, orden público.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Se sugiere: En caso de encontrarse con grupos armados acatar sus indicaciones, no hablar más de lo indicado, responder solo lo preguntado y no hacer uso del celular durante la conversación  con los mismos.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en las veredas los vehículos deben de transitar con las ventanas abajo, a una velocidad moderada por vías angostas.  
4. Si identifica una situación de orden público remitirse al área SST por medio de la línea viajes seguros.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                                       </t>
    </r>
  </si>
  <si>
    <r>
      <t xml:space="preserve">
</t>
    </r>
    <r>
      <rPr>
        <b/>
        <sz val="12"/>
        <color theme="1"/>
        <rFont val="Arial"/>
        <family val="2"/>
      </rPr>
      <t>1. Línea de viajes seguros</t>
    </r>
    <r>
      <rPr>
        <sz val="12"/>
        <color theme="1"/>
        <rFont val="Arial"/>
        <family val="2"/>
      </rPr>
      <t xml:space="preserve">  
3162729715.</t>
    </r>
  </si>
  <si>
    <t>Sonsón</t>
  </si>
  <si>
    <t>2 horas 19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</si>
  <si>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Estar debidamente identificados (carné, camisas corporativas manga larga, chaqueta para el frio, pava o gorra, botas de seguridad, jeans, repelente, bloqueador y  buena hidratación).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Clima frio.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Evitar el contacto con  mascotas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Tener precaución al caminar por terrenos irregulares lo cual puede generar caídas al mismo nivel.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desplazamientos por rutas desconocidas o no convencionales.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Evitar consumir agua de la llave esta no es potable.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presenta una condición de salud repórtala al área de seguridad y salud en el trabajo y al jefe inmediato, no se auto mediques, ni aceptes recomendaciones del personal farmacéutico.
</t>
    </r>
    <r>
      <rPr>
        <b/>
        <sz val="12"/>
        <color rgb="FF000000"/>
        <rFont val="Arial"/>
        <family val="2"/>
      </rPr>
      <t>8</t>
    </r>
    <r>
      <rPr>
        <sz val="12"/>
        <color rgb="FF000000"/>
        <rFont val="Arial"/>
        <family val="2"/>
      </rPr>
      <t xml:space="preserve">. 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</si>
  <si>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Para el desplazamiento por las vías del municipio se recomienda camioneta 4X4 con GPS.    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 Llevar alimentos, snacks y líquidos en caso de una eventualidad en la vía. 
</t>
    </r>
    <r>
      <rPr>
        <b/>
        <sz val="12"/>
        <color theme="1"/>
        <rFont val="Arial"/>
        <family val="2"/>
      </rPr>
      <t xml:space="preserve">3. </t>
    </r>
    <r>
      <rPr>
        <sz val="12"/>
        <color theme="1"/>
        <rFont val="Arial"/>
        <family val="2"/>
      </rPr>
      <t xml:space="preserve">Tener en cuenta que actualmente en arreglos en las vías.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 xml:space="preserve"> Llevar dinero en efectivo (en territorio no siempre reciben transferencias o QR). 
</t>
    </r>
    <r>
      <rPr>
        <b/>
        <sz val="12"/>
        <color theme="1"/>
        <rFont val="Arial"/>
        <family val="2"/>
      </rPr>
      <t xml:space="preserve">5. </t>
    </r>
    <r>
      <rPr>
        <sz val="12"/>
        <color theme="1"/>
        <rFont val="Arial"/>
        <family val="2"/>
      </rPr>
      <t xml:space="preserve">Los conductores deben permanecer cerca del personal en comisión y estar identificados al igual que el vehículo.
</t>
    </r>
    <r>
      <rPr>
        <sz val="12"/>
        <color theme="1"/>
        <rFont val="Arial"/>
        <family val="2"/>
      </rPr>
      <t xml:space="preserve">
</t>
    </r>
    <r>
      <rPr>
        <b/>
        <sz val="12"/>
        <color theme="1"/>
        <rFont val="Arial"/>
        <family val="2"/>
      </rPr>
      <t/>
    </r>
  </si>
  <si>
    <r>
      <t>1.Línea de bomberos</t>
    </r>
    <r>
      <rPr>
        <sz val="12"/>
        <color rgb="FF000000"/>
        <rFont val="Arial"/>
        <family val="2"/>
      </rPr>
      <t xml:space="preserve">
3233453239 - 3233457000</t>
    </r>
    <r>
      <rPr>
        <b/>
        <sz val="12"/>
        <color rgb="FF000000"/>
        <rFont val="Arial"/>
        <family val="2"/>
      </rPr>
      <t xml:space="preserve">
2.Linea de viajes seguros</t>
    </r>
    <r>
      <rPr>
        <sz val="12"/>
        <color rgb="FF000000"/>
        <rFont val="Arial"/>
        <family val="2"/>
      </rPr>
      <t xml:space="preserve">
3162729715</t>
    </r>
  </si>
  <si>
    <t>Abejorral</t>
  </si>
  <si>
    <t>2 horas 18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</si>
  <si>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Estar debidamente identificados (carné, camisas corporativas manga larga,, pava o gorra, botas de seguridad, jeans, repelente, bloqueador y  buena hidratación).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Clima templado.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Evitar el contacto con  mascotas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Tener precaución al caminar por terrenos irregulares lo cual puede generar caídas al mismo nivel.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desplazamientos por rutas desconocidas o no convencionales.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Evitar consumir agua de la llave esta no es potable.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presenta una condición de salud repórtala al área de seguridad y salud en el trabajo y al jefe inmediato, no se auto mediques, ni aceptes recomendaciones del personal farmacéutico.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</si>
  <si>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Por el tramo zona punto rojo tener precaución por  desnivel en la vía.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Para el desplazamiento por las vías del municipio se recomienda camioneta 4X4 con GPS.     
</t>
    </r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  Llevar alimentos, snacks y líquidos en caso de una eventualidad en la vía. 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 xml:space="preserve">Tener en cuenta que actualmente están en  arreglos en las vías.
</t>
    </r>
    <r>
      <rPr>
        <b/>
        <sz val="12"/>
        <color theme="1"/>
        <rFont val="Arial"/>
        <family val="2"/>
      </rPr>
      <t xml:space="preserve">5. </t>
    </r>
    <r>
      <rPr>
        <sz val="12"/>
        <color theme="1"/>
        <rFont val="Arial"/>
        <family val="2"/>
      </rPr>
      <t xml:space="preserve"> Llevar dinero en efectivo (en territorio no siempre reciben transferencias o QR). 
</t>
    </r>
    <r>
      <rPr>
        <b/>
        <sz val="12"/>
        <color theme="1"/>
        <rFont val="Arial"/>
        <family val="2"/>
      </rPr>
      <t xml:space="preserve">6. </t>
    </r>
    <r>
      <rPr>
        <sz val="12"/>
        <color theme="1"/>
        <rFont val="Arial"/>
        <family val="2"/>
      </rPr>
      <t xml:space="preserve">Los conductores deben permanecer cerca del personal en comisión y estar identificados al igual que el vehículo.
</t>
    </r>
    <r>
      <rPr>
        <b/>
        <sz val="12"/>
        <color theme="1"/>
        <rFont val="Arial"/>
        <family val="2"/>
      </rPr>
      <t/>
    </r>
  </si>
  <si>
    <r>
      <t>1.Línea de bomberos</t>
    </r>
    <r>
      <rPr>
        <sz val="12"/>
        <color rgb="FF000000"/>
        <rFont val="Arial"/>
        <family val="2"/>
      </rPr>
      <t xml:space="preserve">
0348648153 - 3116116967</t>
    </r>
    <r>
      <rPr>
        <b/>
        <sz val="12"/>
        <color rgb="FF000000"/>
        <rFont val="Arial"/>
        <family val="2"/>
      </rPr>
      <t xml:space="preserve">
2.Linea de viajes seguros</t>
    </r>
    <r>
      <rPr>
        <sz val="12"/>
        <color rgb="FF000000"/>
        <rFont val="Arial"/>
        <family val="2"/>
      </rPr>
      <t xml:space="preserve">
3162729715</t>
    </r>
  </si>
  <si>
    <t>San Roque</t>
  </si>
  <si>
    <t xml:space="preserve">Nordeste </t>
  </si>
  <si>
    <t>2 horas 15 minutos</t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</si>
  <si>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Estar debidamente identificados (carné, camisas corporativas manga larga para el sol, pava o gorra, botas de seguridad, jeans, repelente, bloqueador y  buena hidratación). 
</t>
    </r>
    <r>
      <rPr>
        <b/>
        <sz val="12"/>
        <color theme="1"/>
        <rFont val="Arial"/>
        <family val="2"/>
      </rPr>
      <t xml:space="preserve">2. </t>
    </r>
    <r>
      <rPr>
        <sz val="12"/>
        <color theme="1"/>
        <rFont val="Arial"/>
        <family val="2"/>
      </rPr>
      <t xml:space="preserve">Clima templado.
</t>
    </r>
    <r>
      <rPr>
        <b/>
        <sz val="12"/>
        <color theme="1"/>
        <rFont val="Arial"/>
        <family val="2"/>
      </rPr>
      <t xml:space="preserve">3. </t>
    </r>
    <r>
      <rPr>
        <sz val="12"/>
        <color theme="1"/>
        <rFont val="Arial"/>
        <family val="2"/>
      </rPr>
      <t xml:space="preserve">Tener precaución al caminar por terrenos irregulares lo cual puede generar caídas al mismo nivel.
</t>
    </r>
    <r>
      <rPr>
        <b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 xml:space="preserve">. Siempre se deben dirigir a las veredas o corregimientos acompañados de un funcionario de la alcaldía.
</t>
    </r>
    <r>
      <rPr>
        <b/>
        <sz val="12"/>
        <color theme="1"/>
        <rFont val="Arial"/>
        <family val="2"/>
      </rPr>
      <t xml:space="preserve">5. </t>
    </r>
    <r>
      <rPr>
        <sz val="12"/>
        <color theme="1"/>
        <rFont val="Arial"/>
        <family val="2"/>
      </rPr>
      <t xml:space="preserve">Evitar desplazamientos por rutas desconocidas o no convencionales.
</t>
    </r>
    <r>
      <rPr>
        <b/>
        <sz val="12"/>
        <color theme="1"/>
        <rFont val="Arial"/>
        <family val="2"/>
      </rPr>
      <t>6.</t>
    </r>
    <r>
      <rPr>
        <sz val="12"/>
        <color theme="1"/>
        <rFont val="Arial"/>
        <family val="2"/>
      </rPr>
      <t xml:space="preserve"> Evitar el contacto con  mascotas.
</t>
    </r>
    <r>
      <rPr>
        <b/>
        <sz val="12"/>
        <color theme="1"/>
        <rFont val="Arial"/>
        <family val="2"/>
      </rPr>
      <t>7.</t>
    </r>
    <r>
      <rPr>
        <sz val="12"/>
        <color theme="1"/>
        <rFont val="Arial"/>
        <family val="2"/>
      </rPr>
      <t xml:space="preserve"> Si presenta una condición de salud repórtala al área de seguridad y salud en el trabajo y al jefe inmediato, no se auto mediques, ni aceptes recomendaciones del personal farmacéutico.
</t>
    </r>
    <r>
      <rPr>
        <b/>
        <sz val="12"/>
        <color theme="1"/>
        <rFont val="Arial"/>
        <family val="2"/>
      </rPr>
      <t>8</t>
    </r>
    <r>
      <rPr>
        <sz val="12"/>
        <color theme="1"/>
        <rFont val="Arial"/>
        <family val="2"/>
      </rPr>
      <t xml:space="preserve">. Si visitas zonas rurales e identificas que necesitas Elementos de protección personal (EPP) adicionales, solicitarlos al área SST. 
</t>
    </r>
  </si>
  <si>
    <r>
      <t xml:space="preserve">Se recomienda 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Estar atentos a la vía ya que hay algunos tramos en muy mal estado por fallas geológicas.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Llevar dinero en efectivo (en territorio, no siempre reciben transferencias o QR). 
</t>
    </r>
    <r>
      <rPr>
        <b/>
        <sz val="12"/>
        <color theme="1"/>
        <rFont val="Arial"/>
        <family val="2"/>
      </rPr>
      <t xml:space="preserve">3. </t>
    </r>
    <r>
      <rPr>
        <sz val="12"/>
        <color theme="1"/>
        <rFont val="Arial"/>
        <family val="2"/>
      </rPr>
      <t xml:space="preserve">Para el desplazamiento por las vías del municipio se recomienda camioneta 4X4 con GPS.    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 xml:space="preserve">Si tomas medicamentos, llévalos contigo.        
</t>
    </r>
    <r>
      <rPr>
        <b/>
        <sz val="12"/>
        <color theme="1"/>
        <rFont val="Arial"/>
        <family val="2"/>
      </rPr>
      <t>5.</t>
    </r>
    <r>
      <rPr>
        <sz val="12"/>
        <color theme="1"/>
        <rFont val="Arial"/>
        <family val="2"/>
      </rPr>
      <t xml:space="preserve">  Llevar alimentos, snacks y líquidos en caso de una eventualidad en la vía.                                                        </t>
    </r>
  </si>
  <si>
    <r>
      <t xml:space="preserve">Se recomienda: 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Validar  con el enlace del municipio la situación de orden público.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Tener en cuenta que las veredas del nordeste en algunas se presenta conflicto armado.
</t>
    </r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 Tener en cuenta que las veredas del nordeste en algunas se presenta conflicto armado.
</t>
    </r>
    <r>
      <rPr>
        <b/>
        <sz val="12"/>
        <color theme="1"/>
        <rFont val="Arial"/>
        <family val="2"/>
      </rPr>
      <t>4.</t>
    </r>
    <r>
      <rPr>
        <sz val="12"/>
        <color theme="1"/>
        <rFont val="Arial"/>
        <family val="2"/>
      </rPr>
      <t xml:space="preserve"> En caso de encontrarse con grupos armados acatar sus indicaciones, responder solo lo preguntado y no hacer uso del celular durante la conversación con los mismos. 
5. Si identifica una situación de orden público remitirse al área SST por medio de la línea viajes seguros. </t>
    </r>
  </si>
  <si>
    <r>
      <rPr>
        <b/>
        <sz val="12"/>
        <color theme="1"/>
        <rFont val="Arial"/>
        <family val="2"/>
      </rPr>
      <t xml:space="preserve">1. Línea de bomberos </t>
    </r>
    <r>
      <rPr>
        <sz val="12"/>
        <color theme="1"/>
        <rFont val="Arial"/>
        <family val="2"/>
      </rPr>
      <t xml:space="preserve">
3117359500
</t>
    </r>
    <r>
      <rPr>
        <b/>
        <sz val="12"/>
        <color theme="1"/>
        <rFont val="Arial"/>
        <family val="2"/>
      </rPr>
      <t xml:space="preserve">2.Línea de viajes seguros  </t>
    </r>
    <r>
      <rPr>
        <sz val="12"/>
        <color theme="1"/>
        <rFont val="Arial"/>
        <family val="2"/>
      </rPr>
      <t xml:space="preserve">
3162729715. </t>
    </r>
  </si>
  <si>
    <t>Yarumal</t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</si>
  <si>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Para el desplazamiento por las vías del municipio se recomienda 
camioneta 4X4 con GPS.  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Tener precaución en la vía por fallas geológicas                                        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Los conductores deben de estar cerca del personal en comisión y estar identificado al igual que el vehículo. 
</t>
    </r>
  </si>
  <si>
    <r>
      <t xml:space="preserve">Tener presente para la comisión: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Validar con el municipio el estado de las vías, orden público.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Se sugiere: En caso de encontrarse con grupos armados acatar sus indicaciones, no hablar más de lo indicado, responder solo lo preguntado y no hacer uso del celular durante la conversación  con los mismos.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en las veredas los vehículos deben de transitar con las ventanas abajo, a una velocidad moderada por vías angostas.                                      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No transitar por las vías en la noche.
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.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</si>
  <si>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>1.Línea de bomberos</t>
    </r>
    <r>
      <rPr>
        <sz val="12"/>
        <color rgb="FF000000"/>
        <rFont val="Arial"/>
        <family val="2"/>
      </rPr>
      <t xml:space="preserve"> 
8537603 -8871123-3136149593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</si>
  <si>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Yolombó</t>
  </si>
  <si>
    <t>2 horas 14 minutos</t>
  </si>
  <si>
    <r>
      <t xml:space="preserve">Se recomienda:          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hidratación.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 acompañados de un funcionario de la alcaldía con el fin que pueda direccionarlos a los  lugares  de los mejoramientos y sea reconocido por los habitantes del lugar.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tu jefe inmediato, no te auto mediques, ni aceptes recomendaciones del personal farmacéutico.                                                       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Reconoce tu organismo y evita consumir alimentos que te generen malestar estomacal.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</si>
  <si>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Para el desplazamiento por las vías del municipio se recomienda camioneta 4X4 con GPS. 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  Llevar dinero en efectivo (en territorio, no siempre reciben transferencias o QR).                                         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Los conductores deben de estar cerca del personal en comisión y estar identificado al igual que el vehículo.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>Llevar alimentos, snacks y líquidos en caso de una eventualidad en la vía.</t>
    </r>
  </si>
  <si>
    <r>
      <t xml:space="preserve">Tener presente para la comisión: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Validar con el municipio el estado de las vías, orden público.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Se sugiere: En caso de encontrarse con grupos armados acatar sus indicaciones, no hablar más de lo indicado, responder solo lo preguntado y no hacer uso del celular durante la conversación  con los mismos.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en las veredas los vehículos deben de transitar con las ventanas abajo, a una velocidad moderada. 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                                  </t>
    </r>
  </si>
  <si>
    <r>
      <rPr>
        <b/>
        <sz val="12"/>
        <color theme="1"/>
        <rFont val="Arial"/>
        <family val="2"/>
      </rPr>
      <t xml:space="preserve">1. Línea de bomberos </t>
    </r>
    <r>
      <rPr>
        <sz val="12"/>
        <color theme="1"/>
        <rFont val="Arial"/>
        <family val="2"/>
      </rPr>
      <t xml:space="preserve">
3113834203 - 3502236537 - 3193840172
</t>
    </r>
    <r>
      <rPr>
        <b/>
        <sz val="12"/>
        <color theme="1"/>
        <rFont val="Arial"/>
        <family val="2"/>
      </rPr>
      <t xml:space="preserve">2.Línea de viajes seguros  </t>
    </r>
    <r>
      <rPr>
        <sz val="12"/>
        <color theme="1"/>
        <rFont val="Arial"/>
        <family val="2"/>
      </rPr>
      <t xml:space="preserve">
3162729715. </t>
    </r>
  </si>
  <si>
    <t>Ciudad Bolívar</t>
  </si>
  <si>
    <t>2 horas 11 minutos</t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</si>
  <si>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3207519002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</si>
  <si>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Cañasgordas</t>
  </si>
  <si>
    <t>2 horas 10 minutos</t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</si>
  <si>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3206940845 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</si>
  <si>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San Francisco</t>
  </si>
  <si>
    <t>1 horas 58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</si>
  <si>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Estar debidamente identificados (carné, camisas corporativas manga larga,, pava o gorra, botas de seguridad, jeans, repelente, bloqueador y  buena hidratación).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Clima templado.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Evitar el contacto con  mascotas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Tener precaución al caminar por terrenos irregulares lo cual puede generar caídas al mismo nivel.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desplazamientos por rutas desconocidas o no convencionales.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Evitar consumir agua de la llave esta no es potable.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presenta una condición de salud repórtala al área de seguridad y salud en el trabajo y al jefe inmediato, no se auto mediques, ni aceptes recomendaciones del personal farmacéutico. 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</si>
  <si>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Para el desplazamiento por las vías del municipio se recomienda camioneta 4X4 con GPS.    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 Llevar alimentos, snacks y líquidos en caso de una eventualidad en la vía. 
</t>
    </r>
    <r>
      <rPr>
        <b/>
        <sz val="12"/>
        <color theme="1"/>
        <rFont val="Arial"/>
        <family val="2"/>
      </rPr>
      <t xml:space="preserve">3. </t>
    </r>
    <r>
      <rPr>
        <sz val="12"/>
        <color theme="1"/>
        <rFont val="Arial"/>
        <family val="2"/>
      </rPr>
      <t xml:space="preserve">Tener en cuenta que actualmente se encuentran en  arreglos en las vías.
</t>
    </r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 xml:space="preserve"> Llevar dinero en efectivo (en territorio no siempre reciben transferencias o QR). 
</t>
    </r>
    <r>
      <rPr>
        <b/>
        <sz val="12"/>
        <color theme="1"/>
        <rFont val="Arial"/>
        <family val="2"/>
      </rPr>
      <t xml:space="preserve">5. </t>
    </r>
    <r>
      <rPr>
        <sz val="12"/>
        <color theme="1"/>
        <rFont val="Arial"/>
        <family val="2"/>
      </rPr>
      <t xml:space="preserve">Los conductores deben permanecer cerca del personal en comisión y estar identificados al igual que el vehículo.
</t>
    </r>
    <r>
      <rPr>
        <b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 xml:space="preserve">. Tener precauciones al transitar  en la vía Medellín - Bogotá por alto flujo de robos.
</t>
    </r>
    <r>
      <rPr>
        <b/>
        <sz val="12"/>
        <color theme="1"/>
        <rFont val="Arial"/>
        <family val="2"/>
      </rPr>
      <t>7.</t>
    </r>
    <r>
      <rPr>
        <sz val="12"/>
        <color theme="1"/>
        <rFont val="Arial"/>
        <family val="2"/>
      </rPr>
      <t xml:space="preserve"> No transitar después de las 9 de la noche por las vías del municipio. 
</t>
    </r>
    <r>
      <rPr>
        <b/>
        <sz val="12"/>
        <color theme="1"/>
        <rFont val="Arial"/>
        <family val="2"/>
      </rPr>
      <t/>
    </r>
  </si>
  <si>
    <r>
      <t>1.Línea de bomberos</t>
    </r>
    <r>
      <rPr>
        <sz val="12"/>
        <color rgb="FF000000"/>
        <rFont val="Arial"/>
        <family val="2"/>
      </rPr>
      <t xml:space="preserve">
3216711499 - 3108910159</t>
    </r>
    <r>
      <rPr>
        <b/>
        <sz val="12"/>
        <color rgb="FF000000"/>
        <rFont val="Arial"/>
        <family val="2"/>
      </rPr>
      <t xml:space="preserve">
2.Linea de viajes seguros</t>
    </r>
    <r>
      <rPr>
        <sz val="12"/>
        <color rgb="FF000000"/>
        <rFont val="Arial"/>
        <family val="2"/>
      </rPr>
      <t xml:space="preserve">
3162729715</t>
    </r>
  </si>
  <si>
    <t>Gómez Plata</t>
  </si>
  <si>
    <t>1 horas 56 minutos</t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</si>
  <si>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Estar debidamente identificados (carné, camisas corporativas manga larga para el sol, pava o gorra, botas de seguridad, jeans, repelente, bloqueador y  buena hidratación). 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Clima Templado.
</t>
    </r>
    <r>
      <rPr>
        <b/>
        <sz val="12"/>
        <color theme="1"/>
        <rFont val="Arial"/>
        <family val="2"/>
      </rPr>
      <t>4.</t>
    </r>
    <r>
      <rPr>
        <sz val="12"/>
        <color theme="1"/>
        <rFont val="Arial"/>
        <family val="2"/>
      </rPr>
      <t xml:space="preserve"> Evitar el contacto con  mascotas 
</t>
    </r>
    <r>
      <rPr>
        <b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 xml:space="preserve">. Tener precaución al caminar por terrenos irregulares lo cual puede generar caídas al mismo nivel.
</t>
    </r>
    <r>
      <rPr>
        <b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 xml:space="preserve">. Evitar desplazamientos por rutas desconocidas o no convencionales.
</t>
    </r>
    <r>
      <rPr>
        <b/>
        <sz val="12"/>
        <color theme="1"/>
        <rFont val="Arial"/>
        <family val="2"/>
      </rPr>
      <t>7.</t>
    </r>
    <r>
      <rPr>
        <sz val="12"/>
        <color theme="1"/>
        <rFont val="Arial"/>
        <family val="2"/>
      </rPr>
      <t xml:space="preserve"> Evitar consumir agua de la llave esta no es potable.
</t>
    </r>
    <r>
      <rPr>
        <b/>
        <sz val="12"/>
        <color theme="1"/>
        <rFont val="Arial"/>
        <family val="2"/>
      </rPr>
      <t>8.</t>
    </r>
    <r>
      <rPr>
        <sz val="12"/>
        <color theme="1"/>
        <rFont val="Arial"/>
        <family val="2"/>
      </rPr>
      <t xml:space="preserve"> Si presenta una condición de salud repórtala al área de seguridad y salud en el trabajo y al jefe inmediato, no se auto mediques, ni aceptes recomendaciones del personal farmacéutico.
</t>
    </r>
    <r>
      <rPr>
        <b/>
        <sz val="12"/>
        <color theme="1"/>
        <rFont val="Arial"/>
        <family val="2"/>
      </rPr>
      <t>9.</t>
    </r>
    <r>
      <rPr>
        <sz val="12"/>
        <color theme="1"/>
        <rFont val="Arial"/>
        <family val="2"/>
      </rPr>
      <t xml:space="preserve"> Si visitas zonas rurales e identificas que necesitas Elementos de protección personal (EPP) adicionales, solicitarlos al área SST.  
</t>
    </r>
  </si>
  <si>
    <r>
      <t xml:space="preserve">Se recomienda:
</t>
    </r>
    <r>
      <rPr>
        <b/>
        <sz val="12"/>
        <color theme="1"/>
        <rFont val="Arial"/>
        <family val="2"/>
      </rPr>
      <t>1</t>
    </r>
    <r>
      <rPr>
        <sz val="12"/>
        <color theme="1"/>
        <rFont val="Arial"/>
        <family val="2"/>
      </rPr>
      <t xml:space="preserve">. Llevar alimentos, snacks y líquidos en caso de una eventualidad en la vía. 
</t>
    </r>
    <r>
      <rPr>
        <b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 xml:space="preserve">. Llevar dinero en efectivo (en territorio, no siempre reciben transferencias o QR). 
</t>
    </r>
    <r>
      <rPr>
        <b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. Si tomas medicamentos, llévalos contigo.
</t>
    </r>
    <r>
      <rPr>
        <b/>
        <sz val="12"/>
        <color theme="1"/>
        <rFont val="Arial"/>
        <family val="2"/>
      </rPr>
      <t>4.</t>
    </r>
    <r>
      <rPr>
        <sz val="12"/>
        <color theme="1"/>
        <rFont val="Arial"/>
        <family val="2"/>
      </rPr>
      <t xml:space="preserve"> Para el desplazamiento por las vías del municipio se recomienda camioneta 4X4 con GPS.                                                                    
</t>
    </r>
  </si>
  <si>
    <r>
      <t xml:space="preserve">Se recomienda: 
</t>
    </r>
    <r>
      <rPr>
        <b/>
        <sz val="12"/>
        <color theme="1"/>
        <rFont val="Arial"/>
        <family val="2"/>
      </rPr>
      <t xml:space="preserve">1. </t>
    </r>
    <r>
      <rPr>
        <sz val="12"/>
        <color theme="1"/>
        <rFont val="Arial"/>
        <family val="2"/>
      </rPr>
      <t xml:space="preserve">Validar  con el enlace del municipio la situación de orden público.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Comunicarse  al numeral #767 para obtener información sobre el estado actual de las vías. 
</t>
    </r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 Si identifica una situación de orden público remitirse al área SST por medio de la línea viajes seguros. 
</t>
    </r>
  </si>
  <si>
    <r>
      <rPr>
        <b/>
        <sz val="12"/>
        <color rgb="FF000000"/>
        <rFont val="Arial"/>
        <family val="2"/>
      </rPr>
      <t>1.Línea de bomberos</t>
    </r>
    <r>
      <rPr>
        <sz val="12"/>
        <color rgb="FF000000"/>
        <rFont val="Arial"/>
        <family val="2"/>
      </rPr>
      <t xml:space="preserve"> 
 8627016 - 3122499247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</si>
  <si>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Giraldo</t>
  </si>
  <si>
    <t>1 horas 46 minutos</t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</si>
  <si>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3218922182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</si>
  <si>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Buriticá</t>
  </si>
  <si>
    <t>Guadalupe</t>
  </si>
  <si>
    <t>3 horas 2 minutos</t>
  </si>
  <si>
    <r>
      <rPr>
        <sz val="12"/>
        <color rgb="FF000000"/>
        <rFont val="Arial"/>
        <family val="2"/>
      </rP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hidratación, protección solar.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Se deben dirigir a las veredas  acompañados de un funcionario de la alcaldía.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Tener precaución al caminar por terrenos irregulares ya que se pueden sufrir caídas al mismo nivel.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El clima es templado.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se auto mediques, no acepte recomendaciones del personal farmacéutico.
</t>
    </r>
    <r>
      <rPr>
        <b/>
        <sz val="12"/>
        <color rgb="FF000000"/>
        <rFont val="Arial"/>
        <family val="2"/>
      </rPr>
      <t>6</t>
    </r>
    <r>
      <rPr>
        <sz val="12"/>
        <color rgb="FF000000"/>
        <rFont val="Arial"/>
        <family val="2"/>
      </rPr>
      <t xml:space="preserve">. 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</si>
  <si>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Los conductores deben en lo posible estar cerca del personal en comisión estar identificado al igual que el vehículo.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Estar atentos a la vía ya que hay algunos tramos en muy mal estado por fallas geológicas.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Para el desplazamiento por las vías del municipio camioneta 4X4 con GPS, para carreteras destapadas.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Llevar alimentos, snacks y líquidos de ser necesario en caso de una eventualidad en la vía.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efectivo ya que no siempre se pueden hacer pago por trasferencias o código QR.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tomas medicamentos recuerda llevarlos contigo.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</si>
  <si>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t xml:space="preserve">Se recomienda: 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 Tener precaución en la vía al llegar al municipio por posible derrumbe de talud.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Validar con el enlace del  municipio la situación de orden público. 
</t>
    </r>
    <r>
      <rPr>
        <b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 xml:space="preserve">. Confirmar si se encuentra los propietarios de las viviendas a visitar.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Comunicarse  al numeral #767 para obtener información sobre el estado  de las vías.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
</t>
    </r>
  </si>
  <si>
    <r>
      <rPr>
        <b/>
        <sz val="12"/>
        <color rgb="FF000000"/>
        <rFont val="Arial"/>
        <family val="2"/>
      </rPr>
      <t>1.Línea de bomberos</t>
    </r>
    <r>
      <rPr>
        <sz val="12"/>
        <color rgb="FF000000"/>
        <rFont val="Arial"/>
        <family val="2"/>
      </rPr>
      <t xml:space="preserve"> 
3137878807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</si>
  <si>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Valdivia</t>
  </si>
  <si>
    <t xml:space="preserve">Norte </t>
  </si>
  <si>
    <r>
      <rPr>
        <sz val="12"/>
        <color rgb="FF000000"/>
        <rFont val="Arial"/>
        <family val="2"/>
      </rPr>
      <t xml:space="preserve">Se recomienda: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 Portar camisas corporativas, pava o gorra, botas, protección solar, siempre se deben dirigir a las veredas o corregimientos acompañados de un funcionario de la alcaldía con el fin que pueda direccionarlos a lugar del mejoramiento.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 Al terminar las actividades laborales, evitar estar en lugares alejados del lugar de descanso
3. Tener precaución al caminar ya que son por terrenos irregulares lo cual puede generar caídas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Evite el contacto con las mascotas
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. No consumir agua de las llaves ya que no es agua potable. (tener bebidas embotelladas)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se auto mediques, ni acepte recomendaciones del personal farmacéutico. 
</t>
    </r>
    <r>
      <rPr>
        <b/>
        <sz val="12"/>
        <color rgb="FF000000"/>
        <rFont val="Arial"/>
        <family val="2"/>
      </rPr>
      <t>7</t>
    </r>
    <r>
      <rPr>
        <sz val="12"/>
        <color rgb="FF000000"/>
        <rFont val="Arial"/>
        <family val="2"/>
      </rPr>
      <t xml:space="preserve">.Clima caliente.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</si>
  <si>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 Estar atentos a la vía ya que hay algunos tramos en muy mal estado por fallas geológicas.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Para el desplazamiento por las vías del municipio camioneta 4X4 con GPS, para carreteras destapadas.
</t>
    </r>
    <r>
      <rPr>
        <b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 xml:space="preserve">. Los conductores deben en lo posible estar cerca del personal en comisión y estar identificado al igual que el vehículo. 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.Llevar alimentos, snacks y líquidos de ser necesario en caso de una eventualidad en la vía.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efectivo ya que no siempre se pueden hacer pago por trasferencias o código QR.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</si>
  <si>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enlace del municipio la situación de orden público ya que es zona roja y zona minera.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Confirmar si se encuentra los propietarios de las viviendas a visitar.
</t>
    </r>
    <r>
      <rPr>
        <b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 xml:space="preserve">.Se sugiere: En caso de encontrarse con grupos armados acatar sus indicaciones, no hablar más de lo indicado, responder solo lo preguntado y no hacer uso del celular durante la conversación con estos grupos armados.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Comunicarse al numeral #767 para obtener información sobre el estado de las vías.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
</t>
    </r>
  </si>
  <si>
    <r>
      <rPr>
        <b/>
        <sz val="12"/>
        <color rgb="FF000000"/>
        <rFont val="Arial"/>
        <family val="2"/>
      </rPr>
      <t>1.Línea de bomberos</t>
    </r>
    <r>
      <rPr>
        <sz val="12"/>
        <color rgb="FF000000"/>
        <rFont val="Arial"/>
        <family val="2"/>
      </rPr>
      <t xml:space="preserve"> 
3127663845 - 3146017325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</si>
  <si>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San Andrés de Cuerquia</t>
  </si>
  <si>
    <r>
      <t xml:space="preserve">Se recomienda: 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 Portar camisas corporativas, pava o gorra, botas, buena hidratación (NO TIENEN AGUA POTABLE), repelente. 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Siempre se deben dirigir a las veredas o corregimientos acompañados de un funcionario de la alcaldía 
</t>
    </r>
    <r>
      <rPr>
        <b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 xml:space="preserve">.Evitar estar en lugares alejados del lugar de descanso.  
4. El clima es cálido.
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. Usar bloqueador solar.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Evitar tocar mascotas. 
</t>
    </r>
    <r>
      <rPr>
        <b/>
        <sz val="12"/>
        <color rgb="FF000000"/>
        <rFont val="Arial"/>
        <family val="2"/>
      </rPr>
      <t xml:space="preserve">7.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a tu jefe inmediato, no te auto mediques, ni aceptes recomendaciones del personal farmacéutico. 
</t>
    </r>
    <r>
      <rPr>
        <b/>
        <sz val="12"/>
        <color rgb="FF000000"/>
        <rFont val="Arial"/>
        <family val="2"/>
      </rPr>
      <t xml:space="preserve">8. </t>
    </r>
    <r>
      <rPr>
        <sz val="12"/>
        <color rgb="FF000000"/>
        <rFont val="Arial"/>
        <family val="2"/>
      </rPr>
      <t xml:space="preserve">Si visitas zonas rurales e identificas que necesitas Elementos de protección personal (EPP) adicionales, solicitarlos al área SST. </t>
    </r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</si>
  <si>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Para el desplazamiento por las vías del municipio camioneta 4X4 con GPS, para carreteras destapadas.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alimentos, snacks y líquidos de ser necesario en caso de una eventualidad en la vía.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efectivo ya que no siempre se pueden hacer pago por trasferencias o código QR.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Si tomas medicamentos recuerda llevarlos contigo.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Los conductores deberán realizar pausas activas a lo largo de recorrido.
</t>
    </r>
  </si>
  <si>
    <r>
      <t xml:space="preserve">Se recomienda 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Validar con el enlace del  municipio la situación de orden público.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Comunicarse al numeral #767 para obtener información sobre el estado de las vías.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Confirmar si se encuentra los propietarios de las viviendas a visitar.
</t>
    </r>
    <r>
      <rPr>
        <b/>
        <sz val="12"/>
        <color rgb="FF000000"/>
        <rFont val="Arial"/>
        <family val="2"/>
      </rPr>
      <t>4. Se sugiere:</t>
    </r>
    <r>
      <rPr>
        <sz val="12"/>
        <color rgb="FF000000"/>
        <rFont val="Arial"/>
        <family val="2"/>
      </rPr>
      <t xml:space="preserve"> En caso de encontrarse con grupos armados acatar sus indicaciones, no hablar más de lo indicado, responder solo lo preguntado y no hacer uso del celular durante la conversación con estos grupos armados.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
</t>
    </r>
  </si>
  <si>
    <r>
      <rPr>
        <sz val="12"/>
        <color rgb="FF000000"/>
        <rFont val="Arial"/>
        <family val="2"/>
      </rPr>
      <t xml:space="preserve">
</t>
    </r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3147115909
</t>
    </r>
    <r>
      <rPr>
        <b/>
        <sz val="12"/>
        <color rgb="FF000000"/>
        <rFont val="Arial"/>
        <family val="2"/>
      </rPr>
      <t xml:space="preserve">2.Línea de viajes seguros  
</t>
    </r>
    <r>
      <rPr>
        <sz val="12"/>
        <color rgb="FF000000"/>
        <rFont val="Arial"/>
        <family val="2"/>
      </rPr>
      <t xml:space="preserve">3162729715. </t>
    </r>
  </si>
  <si>
    <t>Andes</t>
  </si>
  <si>
    <t>2 horas 20 minutos</t>
  </si>
  <si>
    <r>
      <t xml:space="preserve">Se recomienda: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hidratación, protección solar.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 con el enlace del municipio o coordinador por parte del contratista.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 Si pernocta, al terminar las actividades laborales, evitar estar en lugares alejados del lugar de descanso o del equipo de comisión.      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Tener precaución al caminar por terrenos irregulares lo cual puede generar caídas a diferente nivel.                                                      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el contacto con  mascotas.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te auto mediques, ni aceptes recomendaciones del personal farmacéutico.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Clima templado.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</si>
  <si>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3108220701-6048414499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</si>
  <si>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Dabeiba</t>
  </si>
  <si>
    <t>3 horas 30 minutos</t>
  </si>
  <si>
    <r>
      <t xml:space="preserve">Se recomienda:                                                                                             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Portar camisas corporativas, pava o gorra, botas de seguridad  e hidratación.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Siempre se deben dirigir a las veredas  acompañados de un funcionario de la alcaldía con el fin que pueda direccionarlos al lugar de los mejoramientos y sea reconocido por los habitantes del lugar.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se auto mediques, ni acepte recomendaciones del personal farmacéutico.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 Evite el contacto con mascotas.
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. Clima caliente.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</si>
  <si>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4x4 y GPS, algunas veredas se llega en transporte no convencional (mular).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Prohibido el uso de garruchas.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vehículo.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Llevar comida o snack para el camino y buena hidratación.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dinero en efectivo (en territorio, no siempre reciben transferencias o QR).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tomas medicamentos recuerda llevarlos contigo.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</si>
  <si>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t xml:space="preserve">Se recomienda: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 Validar con el enlace  del municipio el estado de las vías por orden  público ya que es zona roja y minera.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Confirmar si se encuentra los propietarios de las viviendas a visitar.
</t>
    </r>
    <r>
      <rPr>
        <b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.Se sugiere: En caso de encontrarse con grupos armados acatar sus indicaciones, no hablar más de lo indicado, responder solo lo preguntado y no hacer uso del celular durante la conversación con estos grupos armados.</t>
    </r>
  </si>
  <si>
    <r>
      <rPr>
        <b/>
        <sz val="12"/>
        <color rgb="FF000000"/>
        <rFont val="Arial"/>
        <family val="2"/>
      </rPr>
      <t>1.	Línea de bomberos</t>
    </r>
    <r>
      <rPr>
        <sz val="12"/>
        <color rgb="FF000000"/>
        <rFont val="Arial"/>
        <family val="2"/>
      </rPr>
      <t xml:space="preserve"> 
3213858059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</si>
  <si>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SR09</t>
  </si>
  <si>
    <t>Z23</t>
  </si>
  <si>
    <t>Chigorodó</t>
  </si>
  <si>
    <t>Urabá</t>
  </si>
  <si>
    <t>5 horas 37 minutos</t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</si>
  <si>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Quien viaje a este municipio debe presentarse con la vacuna de fiebre amarilla 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Portar camisas corporativas manga larga para el sol, pava o gorra, botas de seguridad, jeans, repelente, bloqueador y  buena hidratación 
</t>
    </r>
    <r>
      <rPr>
        <b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 xml:space="preserve">. Clima cálido.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 el contacto con las mascotas. 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a tu jefe inmediato, no te auto mediques, ni aceptes recomendaciones del personal farmacéutico.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</si>
  <si>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con volcó 4x4, GPS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o estar identificado al igual que el vehículo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Salir con tiempo ya que se presentan  pare y siga en la vía.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Llevar alimentos, snacks y líquidos de ser necesario en caso de una eventualidad en la vía.
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. Llevar dinero en efectivo (en territorio, no siempre reciben transferencias o QR).  
</t>
    </r>
    <r>
      <rPr>
        <b/>
        <sz val="12"/>
        <color rgb="FF000000"/>
        <rFont val="Arial"/>
        <family val="2"/>
      </rPr>
      <t xml:space="preserve">NOTA: </t>
    </r>
    <r>
      <rPr>
        <sz val="12"/>
        <color rgb="FF000000"/>
        <rFont val="Arial"/>
        <family val="2"/>
      </rPr>
      <t xml:space="preserve">Se necesitan 2 días de solo viaje ( 1 para ida y 1 para regreso regreso) siempre y cuando el transporte sea terrestre, las condiciones cambian si viajas en transporte aéreo.
</t>
    </r>
    <r>
      <rPr>
        <b/>
        <sz val="12"/>
        <color rgb="FF000000"/>
        <rFont val="Arial"/>
        <family val="2"/>
      </rPr>
      <t xml:space="preserve">6.  </t>
    </r>
    <r>
      <rPr>
        <sz val="12"/>
        <color rgb="FF000000"/>
        <rFont val="Arial"/>
        <family val="2"/>
      </rPr>
      <t xml:space="preserve">Si tomas medicamentos recuerda llevarlos contigo.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Los conductores deberán realizar pausas activas a lo largo de recorrido. 
</t>
    </r>
    <r>
      <rPr>
        <b/>
        <sz val="12"/>
        <color rgb="FF000000"/>
        <rFont val="Arial"/>
        <family val="2"/>
      </rPr>
      <t/>
    </r>
  </si>
  <si>
    <r>
      <t xml:space="preserve">Se debe tener en cuenta 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Comunicarse  con el enlace del municipio para corroborar en tema de orden público.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Comunicarse  al numeral #767 para obtener información sobre el estado actual de las vías. 
</t>
    </r>
    <r>
      <rPr>
        <b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 xml:space="preserve">. Confirmar si se encuentra los propietarios de las viviendas a visitar, (tener presente  que se puede presentar hostigamiento en cualquier momento).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</si>
  <si>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348256500 - 3022922301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
</t>
    </r>
  </si>
  <si>
    <t>Urrao</t>
  </si>
  <si>
    <r>
      <t xml:space="preserve">Se recomienda: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hidratación, protección solar.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acompañados de un funcionario de la alcaldía.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 Al terminar las actividades laborales, evitar estar en lugares alejados del lugar de descanso o del equipo de comisión.      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Tener precaución al caminar por terrenos irregulares lo cual puede generar caídas al mismo nivel.                                                      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tocar mascotas.
</t>
    </r>
    <r>
      <rPr>
        <b/>
        <sz val="12"/>
        <color rgb="FF000000"/>
        <rFont val="Arial"/>
        <family val="2"/>
      </rPr>
      <t>6</t>
    </r>
    <r>
      <rPr>
        <sz val="12"/>
        <color rgb="FF000000"/>
        <rFont val="Arial"/>
        <family val="2"/>
      </rPr>
      <t xml:space="preserve">. Si presentas una condición de salud repórtala al área de seguridad y salud en el trabajo y a su jefe inmediato, no se auto mediques, ni acepte recomendaciones del personal farmacéutico.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Clima frio.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</si>
  <si>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Desplazarse con precaución en la vía por tramos con fallas geológicas.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Para el desplazamiento por las vías del municipio se recomienda camioneta 4X4 con GPS.                                                                    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Los conductores deben de estar cerca del personal en comisión y estar identificado al igual que el vehículo.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alimentos, snacks y líquidos en caso de una eventualidad en la vía.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tomas medicamentos recuerda llevarlos contigo.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Los conductores deberán realizar pausas activas a lo largo de recorrido.
</t>
    </r>
  </si>
  <si>
    <r>
      <t xml:space="preserve">Se recomienda: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.No realizar desplazamientos  después de las 6:00 p.m. por zona roja, recomendación pernoctar.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Validar con el enlace del municipio la situación de orden público.  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Comunicarse al numeral #767 para obtener información sobre el estado actual de las vías.  
</t>
    </r>
  </si>
  <si>
    <r>
      <rPr>
        <b/>
        <sz val="12"/>
        <color rgb="FF000000"/>
        <rFont val="Arial"/>
        <family val="2"/>
      </rPr>
      <t xml:space="preserve">1.Línea de bomberos </t>
    </r>
    <r>
      <rPr>
        <sz val="12"/>
        <color rgb="FF000000"/>
        <rFont val="Arial"/>
        <family val="2"/>
      </rPr>
      <t xml:space="preserve">8502458 - 3148858550
</t>
    </r>
    <r>
      <rPr>
        <b/>
        <sz val="12"/>
        <color rgb="FF000000"/>
        <rFont val="Arial"/>
        <family val="2"/>
      </rPr>
      <t>2.Linea de viajes seguros</t>
    </r>
    <r>
      <rPr>
        <sz val="12"/>
        <color rgb="FF000000"/>
        <rFont val="Arial"/>
        <family val="2"/>
      </rPr>
      <t xml:space="preserve"> 
3162729715
</t>
    </r>
  </si>
  <si>
    <t>Jardín</t>
  </si>
  <si>
    <t>3 horas 15 minutos</t>
  </si>
  <si>
    <r>
      <t xml:space="preserve">
Se recomienda:                                                                                   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hidratación, protección solar.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acompañados de un funcionario de la alcaldía.                                               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 Al terminar las actividades laborales, evitar estar en lugares alejados del lugar de descanso o del equipo de comisión.                                                                                                                       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Tener precaución al caminar por terrenos irregulares lo cual puede generar caídas al mismo nivel.                                                      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el contacto con  mascotas.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te auto mediques, ni aceptes recomendaciones del personal farmacéutico.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Clima frio-cálido.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</si>
  <si>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Para el desplazamiento por las vías del municipio se recomienda camioneta 4X4 con GPS.                                                                     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de estar cerca del personal en comisión y estar identificado al igual que el vehículo.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Llevar alimentos, snacks y líquidos en caso de una eventualidad en la vía.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 Llevar efectivo ya que no siempre se pueden hacer pago por trasferencias o código QR.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>Si tomas medicamentos recuerda llevarlos contigo.
6. Los conductores deberán realizar pausas activas a lo largo de recorrido.</t>
    </r>
  </si>
  <si>
    <r>
      <t xml:space="preserve">Se debe tener en cuenta 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Validar con el enlace del municipio la situación de orden público.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Comunicarse  al numeral #767 para obtener información sobre el estado actual de las vías. 
</t>
    </r>
    <r>
      <rPr>
        <b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 xml:space="preserve">. Confirmar si se encuentra los propietarios de las viviendas a visitar, (tener presente  que se puede presentar hostigamiento en cualquier momento).
</t>
    </r>
  </si>
  <si>
    <r>
      <rPr>
        <b/>
        <sz val="12"/>
        <color rgb="FF000000"/>
        <rFont val="Arial"/>
        <family val="2"/>
      </rPr>
      <t xml:space="preserve">1.	Línea de bomberos 
</t>
    </r>
    <r>
      <rPr>
        <sz val="12"/>
        <color rgb="FF000000"/>
        <rFont val="Arial"/>
        <family val="2"/>
      </rPr>
      <t xml:space="preserve">8455405 - 3103593511
</t>
    </r>
    <r>
      <rPr>
        <b/>
        <sz val="12"/>
        <color rgb="FF000000"/>
        <rFont val="Arial"/>
        <family val="2"/>
      </rPr>
      <t>2.Linea de viajes seguros</t>
    </r>
    <r>
      <rPr>
        <sz val="12"/>
        <color rgb="FF000000"/>
        <rFont val="Arial"/>
        <family val="2"/>
      </rPr>
      <t xml:space="preserve"> 
3162729715
</t>
    </r>
  </si>
  <si>
    <t>Z08</t>
  </si>
  <si>
    <t>Segovia</t>
  </si>
  <si>
    <t>5 horas 9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</si>
  <si>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Portar camisas corporativas, pava o gorra, botas, hidratación, protección solar.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Siempre se deben dirigir a las veredas o corregimientos acompañados de un funcionario de la alcaldía.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Luego de terminar las actividades laborales, evitar estar en lugares alejados del lugar de descanso o alejarse del equipo.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Evitar el contacto con las mascotas.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Como es un una zona minera, se recomienda no consumir agua de la llave (no es potable), en lo posible que las bebidas sean siempre en botella.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a su  jefe inmediato, no te auto mediques, ni aceptes recomendaciones del personal farmacéutico.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</si>
  <si>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Estar atentos a la vía ya que hay algunos tramos en muy mal estado por fallas geológicas.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Para el desplazamiento por las vías del municipio camioneta 4X4 con GPS, para carreteras destapadas.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Los conductores deben en lo posible estar cerca del personal en comisión y estar identificado al igual que el vehículo.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Llevar alimentos, snacks y líquidos de ser necesario en caso de una eventualidad en la vía.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efectivo ya que no siempre se pueden hacer pago por trasferencias o código QR.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Si tomas medicamentos recuerda llevarlos contigo.
</t>
    </r>
    <r>
      <rPr>
        <b/>
        <sz val="12"/>
        <color rgb="FF000000"/>
        <rFont val="Arial"/>
        <family val="2"/>
      </rPr>
      <t xml:space="preserve">7. </t>
    </r>
    <r>
      <rPr>
        <sz val="12"/>
        <color rgb="FF000000"/>
        <rFont val="Arial"/>
        <family val="2"/>
      </rPr>
      <t>Los conductores deberán realizar pausas activas a lo largo de recorrido.</t>
    </r>
  </si>
  <si>
    <r>
      <rPr>
        <b/>
        <sz val="12"/>
        <color rgb="FF000000"/>
        <rFont val="Arial"/>
        <family val="2"/>
      </rPr>
      <t xml:space="preserve">1. Línea de bomberos 
</t>
    </r>
    <r>
      <rPr>
        <sz val="12"/>
        <color rgb="FF000000"/>
        <rFont val="Arial"/>
        <family val="2"/>
      </rPr>
      <t xml:space="preserve">3003832202 - 3003832202
</t>
    </r>
    <r>
      <rPr>
        <b/>
        <sz val="12"/>
        <color rgb="FF000000"/>
        <rFont val="Arial"/>
        <family val="2"/>
      </rPr>
      <t>2.Línea de viajes seguros</t>
    </r>
    <r>
      <rPr>
        <sz val="12"/>
        <color rgb="FF000000"/>
        <rFont val="Arial"/>
        <family val="2"/>
      </rPr>
      <t xml:space="preserve">  
3162729715. </t>
    </r>
  </si>
  <si>
    <t>Z06</t>
  </si>
  <si>
    <t>Puerto Nare</t>
  </si>
  <si>
    <t>5 horas 5 minutos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</si>
  <si>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buena hidratación (NO TIENEN AGUA POTABLE), repelente, usar bloqueador.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acompañados de un funcionario de la alcaldía con el fin que pueda direccionarlos al lugar de los mejoramientos y sea reconocido por los habitantes del lugar.
</t>
    </r>
    <r>
      <rPr>
        <b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 xml:space="preserve">. Luego de terminar las actividades laborales, evitar estar en lugares alejados del lugar de descanso. 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El clima es caliente.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Evitar el contacto con mascotas. 
</t>
    </r>
    <r>
      <rPr>
        <b/>
        <sz val="12"/>
        <color rgb="FF000000"/>
        <rFont val="Arial"/>
        <family val="2"/>
      </rPr>
      <t>6</t>
    </r>
    <r>
      <rPr>
        <sz val="12"/>
        <color rgb="FF000000"/>
        <rFont val="Arial"/>
        <family val="2"/>
      </rPr>
      <t xml:space="preserve">. 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</si>
  <si>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Entre puerto Nare y puerto triunfo se recomienda tener presente que el vehículo deberá pasar el rio en algunas ocasiones (Ferri tipo lancha en plancha)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Camioneta con volcó 4x4, GPS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Los conductores deben en lo posible estar cerca del personal en comisión o estar identificado al igual que el vehículo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Llevar alimentos, snacks y líquidos de ser necesario en caso de una eventualidad en la vía.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Llevar dinero en efectivo (en territorio, no siempre reciben transferencias o QR). 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tomas medicamentos recuerda llevarlos contigo.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</si>
  <si>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enlace del municipio la situación de orden público.
</t>
    </r>
    <r>
      <rPr>
        <b/>
        <sz val="12"/>
        <color rgb="FF000000"/>
        <rFont val="Arial"/>
        <family val="2"/>
      </rPr>
      <t>2. Se sugiere:</t>
    </r>
    <r>
      <rPr>
        <sz val="12"/>
        <color rgb="FF000000"/>
        <rFont val="Arial"/>
        <family val="2"/>
      </rPr>
      <t xml:space="preserve"> En caso de encontrarse con grupos armados acatar sus indicaciones, no hablar más de lo indicado, responder solo lo preguntado y no hacer uso del celular durante la conversación con estos grupos armados.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 Comunicarse  al numeral #767 para obtener información sobre el estado actual de las vías.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</si>
  <si>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 xml:space="preserve">1. Línea de bomberos </t>
    </r>
    <r>
      <rPr>
        <sz val="12"/>
        <color rgb="FF000000"/>
        <rFont val="Arial"/>
        <family val="2"/>
      </rPr>
      <t xml:space="preserve">3206671956
</t>
    </r>
    <r>
      <rPr>
        <b/>
        <sz val="12"/>
        <color rgb="FF000000"/>
        <rFont val="Arial"/>
        <family val="2"/>
      </rPr>
      <t>2.Línea de viajes seguros</t>
    </r>
    <r>
      <rPr>
        <sz val="12"/>
        <color rgb="FF000000"/>
        <rFont val="Arial"/>
        <family val="2"/>
      </rPr>
      <t xml:space="preserve">  
3162729715. 
</t>
    </r>
  </si>
  <si>
    <t>Carepa</t>
  </si>
  <si>
    <t>5 horas 45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</si>
  <si>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Quien viaje a este municipio debe presentarse con la vacuna de fiebre amarilla 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Portar camisas corporativas manga larga para el sol, pava o gorra, botas de seguridad, jeans, repelente, bloqueador y  buena hidratación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Clima cálido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Evitar el contacto con mascotas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su jefe inmediato, no te auto mediques, ni aceptes recomendaciones del personal farmacéutico.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</si>
  <si>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con volcó 4x4, GPS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o estar identificado al igual que el vehículo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Salir con tiempo ya que hay pare y siga en la vía.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alimentos, snacks y líquidos de ser necesario en caso de una eventualidad en la vía.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Llevar dinero en efectivo (en territorio, no siempre reciben transferencias o QR).  
NOTA: Se necesitan 2 días de solo viaje ( 1. para ida y 1. para regreso , más los días de comisión) siempre y cuando el transporte sea terrestre, las condiciones cambian si viajas en transporte aéreo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Si tomas medicamentos llevarlos siempre contigo.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Los conductores deberán realizar pausas activas a lo largo de recorrido.
</t>
    </r>
  </si>
  <si>
    <r>
      <t xml:space="preserve">Se debe tener en cuenta  antes de dirigirse  al municipio: 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Comunicarse  con el enlace del municipio para corroborar en tema de orden público.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Comunicarse  al numeral #767 para obtener información sobre el estado actual de las vías.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Confirmar si se encuentra los propietarios de las viviendas a visitar, (tener presente  que se puede presentar hostigamiento en cualquier momento)."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Si identifica una situación de orden público remitirse al área SST por medio de la línea viajes seguros. </t>
    </r>
  </si>
  <si>
    <r>
      <t xml:space="preserve">1. Línea de bomberos </t>
    </r>
    <r>
      <rPr>
        <sz val="12"/>
        <color rgb="FF000000"/>
        <rFont val="Arial"/>
        <family val="2"/>
      </rPr>
      <t xml:space="preserve">8236340 -  3108119764
</t>
    </r>
    <r>
      <rPr>
        <b/>
        <sz val="12"/>
        <color rgb="FF000000"/>
        <rFont val="Arial"/>
        <family val="2"/>
      </rPr>
      <t xml:space="preserve">2.Línea de viajes seguros  
</t>
    </r>
    <r>
      <rPr>
        <sz val="12"/>
        <color rgb="FF000000"/>
        <rFont val="Arial"/>
        <family val="2"/>
      </rPr>
      <t xml:space="preserve">3162729715. </t>
    </r>
  </si>
  <si>
    <t>Remedios</t>
  </si>
  <si>
    <t>4 horas 50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</si>
  <si>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Portar camisas corporativas, pava o gorra, botas, hidratación, protección solar.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siempre se deben dirigir a las veredas o corregimientos acompañados de un funcionario de la alcaldía.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Luego de terminar las actividades laborales, evitar estar en lugares alejados del lugar de descanso o alejarse del equipo.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Evitar el contacto con las mascotas.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Como es un una zona minera, se recomienda no consumir agua de la llave, en lo posible que las bebidas sean siempre embotelladas.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tu jefe inmediato, no te auto mediques, ni aceptes recomendaciones del personal farmacéutico.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</si>
  <si>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Llevar alimentos, snacks y líquidos de ser necesario en caso de una eventualidad en la vía.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Llevar dinero en efectivo (en territorio, no siempre reciben transferencias o QR). 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Camioneta con volcó 4x4, GPS.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Los conductores deben en lo posible estar cerca del personal en comisión y estar identificado al igual que el vehículo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tomas medicamentos recuerda llevarlos contigo.
</t>
    </r>
    <r>
      <rPr>
        <b/>
        <sz val="12"/>
        <color rgb="FF000000"/>
        <rFont val="Arial"/>
        <family val="2"/>
      </rPr>
      <t>6</t>
    </r>
    <r>
      <rPr>
        <sz val="12"/>
        <color rgb="FF000000"/>
        <rFont val="Arial"/>
        <family val="2"/>
      </rPr>
      <t>. Los conductores deberán realizar pausas activas a lo largo de recorrido.</t>
    </r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</si>
  <si>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Tener en cuenta que las veredas del nordeste en algunas se presenta conflicto armado.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Validar con el enlace del  municipio la situación de orden público.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 xml:space="preserve"> Se sugiere:</t>
    </r>
    <r>
      <rPr>
        <sz val="12"/>
        <color rgb="FF000000"/>
        <rFont val="Arial"/>
        <family val="2"/>
      </rPr>
      <t xml:space="preserve"> En caso de encontrarse con grupos armados acatar sus indicaciones, no hablar más de lo indicado, responder solo lo preguntado y no hacer uso del celular durante la conversación con estos grupos armados.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</si>
  <si>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 xml:space="preserve">1. Línea de bomberos </t>
    </r>
    <r>
      <rPr>
        <sz val="12"/>
        <color rgb="FF000000"/>
        <rFont val="Arial"/>
        <family val="2"/>
      </rPr>
      <t xml:space="preserve">3128660246.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</t>
    </r>
  </si>
  <si>
    <t>Puerto Triunfo</t>
  </si>
  <si>
    <t>3 horas 44 minutos</t>
  </si>
  <si>
    <r>
      <t xml:space="preserve">Se recomienda: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 Quien viaje a este municipio debe presentarse con la vacuna de fiebre amarilla 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Portar camisas corporativas manga larga para el sol, pava o gorra, botas de seguridad, jeans, repelente, bloqueador y  buena hidratación 
</t>
    </r>
    <r>
      <rPr>
        <b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 xml:space="preserve">. Clima caliente 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Evitar tocar mascotas 
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. Si presentas una condición de salud repórtala al área de seguridad y salud en el trabajo y a tu jefe inmediato, no te auto mediques, ni aceptes recomendaciones del personal farmacéutico.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</si>
  <si>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 
1. Camioneta con volcó 4x4, GPS
2. Los conductores deben en lo posible estar cerca del personal en comisión o estar identificado al igual que el vehículo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Salir con tiempo ya que hay pare y siga en la vía.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Llevar alimentos, snacks y líquidos de ser necesario en caso de una eventualidad en la vía.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dinero en efectivo ( en territorio, no siempre reciben transferencias o QR). 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Entre  puerto triunfo y puerto Nare  se recomienda tener presente que el vehículo deberá pasar el rio en algunas ocasiones en  transporte no convencional  (Ferri tipo lancha en plancha)
</t>
    </r>
    <r>
      <rPr>
        <b/>
        <sz val="12"/>
        <color rgb="FF000000"/>
        <rFont val="Arial"/>
        <family val="2"/>
      </rPr>
      <t xml:space="preserve">7. </t>
    </r>
    <r>
      <rPr>
        <sz val="12"/>
        <color rgb="FF000000"/>
        <rFont val="Arial"/>
        <family val="2"/>
      </rPr>
      <t xml:space="preserve">Si tomas medicamentos recuerda llevarlos contigo.
</t>
    </r>
    <r>
      <rPr>
        <b/>
        <sz val="12"/>
        <color rgb="FF000000"/>
        <rFont val="Arial"/>
        <family val="2"/>
      </rPr>
      <t xml:space="preserve">8. </t>
    </r>
    <r>
      <rPr>
        <sz val="12"/>
        <color rgb="FF000000"/>
        <rFont val="Arial"/>
        <family val="2"/>
      </rPr>
      <t xml:space="preserve">Los conductores deberán realizar pausas activas a lo largo de recorrido.
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</si>
  <si>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municipio el estado de las vías, orden público.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Se sugiere</t>
    </r>
    <r>
      <rPr>
        <sz val="12"/>
        <color rgb="FF000000"/>
        <rFont val="Arial"/>
        <family val="2"/>
      </rPr>
      <t xml:space="preserve">: En caso de encontrarse con grupos armados acatar sus indicaciones, no hablar más de lo indicado, responder solo lo preguntado y no hacer uso del celular durante la conversación con estos grupos armados.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 Comunicarse  al numeral #767 para obtener información sobre el estado actual de las vías.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</si>
  <si>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 xml:space="preserve">1.Línea de bomberos 
</t>
    </r>
    <r>
      <rPr>
        <sz val="12"/>
        <color rgb="FF000000"/>
        <rFont val="Arial"/>
        <family val="2"/>
      </rPr>
      <t xml:space="preserve">3113746878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  <r>
      <rPr>
        <b/>
        <sz val="12"/>
        <color rgb="FF000000"/>
        <rFont val="Arial"/>
        <family val="2"/>
      </rPr>
      <t xml:space="preserve">
</t>
    </r>
  </si>
  <si>
    <t>Puerto Berrío</t>
  </si>
  <si>
    <t>3 horas 36 minutos</t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</si>
  <si>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Quien viaje a este municipio debe presentarse con la vacuna de fiebre amarilla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Portar camisas corporativas manga larga para el sol, pava o gorra, botas de seguridad, jeans, repelente, bloqueador y  buena hidratación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Clima caliente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Evitar tocar mascotas 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a tu jefe inmediato, no te auto mediques, ni aceptes recomendaciones del personal farmacéutico. 
</t>
    </r>
    <r>
      <rPr>
        <b/>
        <sz val="12"/>
        <color rgb="FF000000"/>
        <rFont val="Arial"/>
        <family val="2"/>
      </rPr>
      <t>6</t>
    </r>
    <r>
      <rPr>
        <sz val="12"/>
        <color rgb="FF000000"/>
        <rFont val="Arial"/>
        <family val="2"/>
      </rPr>
      <t xml:space="preserve">. Si visitas zonas rurales e identificas que necesitas Elementos de protección personal (EPP) adicionales, solicitarlos al área SST. 
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</si>
  <si>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con volcó 4x4, GPS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o estar identificado al igual que el vehículo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alimentos, snacks y líquidos de ser necesario en caso de una eventualidad en la vía.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dinero en efectivo (en territorio, no siempre reciben transferencias o QR). 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tomas medicamentos recuerda llevarlos contigo.
</t>
    </r>
    <r>
      <rPr>
        <b/>
        <sz val="12"/>
        <color rgb="FF000000"/>
        <rFont val="Arial"/>
        <family val="2"/>
      </rPr>
      <t xml:space="preserve">7. </t>
    </r>
    <r>
      <rPr>
        <sz val="12"/>
        <color rgb="FF000000"/>
        <rFont val="Arial"/>
        <family val="2"/>
      </rPr>
      <t>Los conductores deberán realizar pausas activas a lo largo de recorrido.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</si>
  <si>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municipio el estado de las vías, orden público.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Tener presente que en el municipio se presentan conflicto urbano.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Precaución con las bandas conflictivas del municipio.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Si se pernota en este municipio no deberá alejarse de la zona.
</t>
    </r>
    <r>
      <rPr>
        <b/>
        <sz val="12"/>
        <color rgb="FF000000"/>
        <rFont val="Arial"/>
        <family val="2"/>
      </rPr>
      <t>5. Se sugiere:</t>
    </r>
    <r>
      <rPr>
        <sz val="12"/>
        <color rgb="FF000000"/>
        <rFont val="Arial"/>
        <family val="2"/>
      </rPr>
      <t xml:space="preserve"> En caso de encontrarse con grupos armados acatar sus indicaciones, no hablar más de lo indicado, responder solo lo preguntado y no hacer uso del celular durante la conversación con estos grupos armados.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
</t>
    </r>
  </si>
  <si>
    <r>
      <rPr>
        <b/>
        <sz val="12"/>
        <color rgb="FF000000"/>
        <rFont val="Arial"/>
        <family val="2"/>
      </rPr>
      <t xml:space="preserve">1.Línea de bomberos 
</t>
    </r>
    <r>
      <rPr>
        <sz val="12"/>
        <color rgb="FF000000"/>
        <rFont val="Arial"/>
        <family val="2"/>
      </rPr>
      <t xml:space="preserve">3106504958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</si>
  <si>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SR02</t>
  </si>
  <si>
    <t>Z04</t>
  </si>
  <si>
    <t>Zaragoza</t>
  </si>
  <si>
    <t>Bajo Cauca</t>
  </si>
  <si>
    <t>7 horas 7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</si>
  <si>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Quien viaje a este municipio debe presentarse con la vacuna de fiebre amarilla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Portar camisas corporativas manga larga para el sol, pava o gorra, botas de seguridad, jeans, repelente, bloqueador y  buena hidratación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Clima cálido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 tu jefe inmediato, no te auto mediques, ni aceptes recomendaciones del personal farmacéutico.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 el contacto con mascotas.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</si>
  <si>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con volcó 4x4, GPS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Llevar alimentos, snacks y líquidos de ser necesario en caso de una eventualidad en la vía.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dinero en efectivo (en territorio, no siempre reciben transferencias o QR). 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tomas medicamentos recuerda llevarlos contigo.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Los conductores deberán realizar pausas activas a lo largo de recorrido.
 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</si>
  <si>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municipio el estado de las vías, orden público ya que es zona roja por grupos armado.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Confirmar si se encuentra los propietarios de las viviendas a visitar.
</t>
    </r>
    <r>
      <rPr>
        <b/>
        <sz val="12"/>
        <color rgb="FF000000"/>
        <rFont val="Arial"/>
        <family val="2"/>
      </rPr>
      <t>3. Se sugiere:</t>
    </r>
    <r>
      <rPr>
        <sz val="12"/>
        <color rgb="FF000000"/>
        <rFont val="Arial"/>
        <family val="2"/>
      </rPr>
      <t xml:space="preserve"> En caso de encontrarse con grupos armados acatar sus indicaciones, no hablar más de lo indicado, responder solo lo preguntado y no hacer uso del celular durante la conversación con los mismos.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Si identifica una situación de orden público remitirse al área SST por medio de la línea viajes seguros. 
</t>
    </r>
  </si>
  <si>
    <r>
      <t xml:space="preserve">1. Línea de bomberos </t>
    </r>
    <r>
      <rPr>
        <sz val="12"/>
        <color rgb="FF000000"/>
        <rFont val="Arial"/>
        <family val="2"/>
      </rPr>
      <t xml:space="preserve">3216183231 - 3145112137
</t>
    </r>
    <r>
      <rPr>
        <b/>
        <sz val="12"/>
        <color rgb="FF000000"/>
        <rFont val="Arial"/>
        <family val="2"/>
      </rPr>
      <t xml:space="preserve">2.Línea de viajes seguros  
</t>
    </r>
    <r>
      <rPr>
        <sz val="12"/>
        <color rgb="FF000000"/>
        <rFont val="Arial"/>
        <family val="2"/>
      </rPr>
      <t>3162729715.</t>
    </r>
    <r>
      <rPr>
        <b/>
        <sz val="12"/>
        <color rgb="FF000000"/>
        <rFont val="Arial"/>
        <family val="2"/>
      </rPr>
      <t xml:space="preserve"> 
</t>
    </r>
  </si>
  <si>
    <t>Nechí</t>
  </si>
  <si>
    <t>6 horas 57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</si>
  <si>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Quien viaje a este municipio debe presentarse con la vacuna de fiebre amarilla 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Portar camisas corporativas manga larga para el sol , pava o gorra, botas de seguridad, jeans, repelente, bloqueador y  buena hidratación 
</t>
    </r>
    <r>
      <rPr>
        <b/>
        <sz val="12"/>
        <color rgb="FF000000"/>
        <rFont val="Arial"/>
        <family val="2"/>
      </rPr>
      <t xml:space="preserve">3. </t>
    </r>
    <r>
      <rPr>
        <sz val="12"/>
        <color rgb="FF000000"/>
        <rFont val="Arial"/>
        <family val="2"/>
      </rPr>
      <t xml:space="preserve">Clima cálido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a tu jefe inmediato, no te automediques, ni aceptes recomendaciones del personal farmacéutico.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 el contacto con mascotas.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No consumir agua de la llave (NO ES POTABLE)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</si>
  <si>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Camioneta con volcó 4x4, GPS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alimentos, snacks y líquidos de ser necesario en caso de una eventualidad en la vía.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dinero en efectivo ( en territorio, no siempre reciben transferencias o QR).  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Si tomas medicamentos recuerda llevarlos contigo.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>Los conductores deberán realizar pausas activas a lo largo de recorrido.</t>
    </r>
    <r>
      <rPr>
        <b/>
        <sz val="12"/>
        <color rgb="FF000000"/>
        <rFont val="Arial"/>
        <family val="2"/>
      </rPr>
      <t xml:space="preserve">
</t>
    </r>
    <r>
      <rPr>
        <sz val="12"/>
        <color rgb="FF000000"/>
        <rFont val="Arial"/>
        <family val="2"/>
      </rPr>
      <t xml:space="preserve"> 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</si>
  <si>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municipio el estado de las vías, orden público ya que es zona roja  en la parte rural por grupos armados.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Confirmar si se encuentra los propietarios de las viviendas a visitar.
3. Se sugiere: En caso de encontrarse con grupos armados acatar sus indicaciones, no hablar más de lo indicado, responder solo lo preguntado y no hacer uso del celular durante la conversación con   los mismos.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Se recomienda desplazarse por la Vía del norte, para evitar atravesar Zona roja.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</si>
  <si>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 xml:space="preserve">1. Línea de bomberos </t>
    </r>
    <r>
      <rPr>
        <sz val="12"/>
        <color rgb="FF000000"/>
        <rFont val="Arial"/>
        <family val="2"/>
      </rPr>
      <t xml:space="preserve">3216183231 - 3108495815.
</t>
    </r>
    <r>
      <rPr>
        <b/>
        <sz val="12"/>
        <color rgb="FF000000"/>
        <rFont val="Arial"/>
        <family val="2"/>
      </rPr>
      <t xml:space="preserve">2.Línea de viajes seguros </t>
    </r>
    <r>
      <rPr>
        <sz val="12"/>
        <color rgb="FF000000"/>
        <rFont val="Arial"/>
        <family val="2"/>
      </rPr>
      <t xml:space="preserve"> 
3162729715. </t>
    </r>
  </si>
  <si>
    <t>Caucasia</t>
  </si>
  <si>
    <t>5 horas 41 minutos</t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</si>
  <si>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Quien viaje a este municipio debe presentarse con la vacuna de fiebre amarilla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Portar camisas corporativas manga larga para el sol, pava o gorra, botas de seguridad, jeans, repelente, bloqueador y  buena hidratación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Clima caliente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Evitar el contacto  con mascotas 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al jefe inmediato, no te auto mediques, ni aceptes recomendaciones del personal farmacéutico.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</si>
  <si>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con volcó 4x4, GPS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o estar identificado al igual que el vehículo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alimentos, snacks y líquidos de ser necesario en caso de una eventualidad en la vía.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dinero en efectivo (en territorio, no siempre reciben transferencias o QR). 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Desplazarse por la vía del nordeste.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tomas medicamentos recuerda llevarlos contigo.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Los conductores deberán realizar pausas activas a lo largo de recorrido.</t>
    </r>
    <r>
      <rPr>
        <b/>
        <sz val="12"/>
        <color rgb="FF000000"/>
        <rFont val="Arial"/>
        <family val="2"/>
      </rPr>
      <t xml:space="preserve">
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</si>
  <si>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municipio el estado de las vías, orden público ya que es zona roja  en la parte rural y urbana por grupos armados.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Estar atentos a los hostigamientos que se puede presentar por ser zona minera.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Confirmar si se encuentra los propietarios de las viviendas a visitar.
</t>
    </r>
    <r>
      <rPr>
        <b/>
        <sz val="12"/>
        <color rgb="FF000000"/>
        <rFont val="Arial"/>
        <family val="2"/>
      </rPr>
      <t>4. Se sugiere:</t>
    </r>
    <r>
      <rPr>
        <sz val="12"/>
        <color rgb="FF000000"/>
        <rFont val="Arial"/>
        <family val="2"/>
      </rPr>
      <t xml:space="preserve"> En caso de encontrarse con grupos armados acatar sus indicaciones, no hablar más de lo indicado, responder solo lo preguntado y no hacer uso del celular durante la conversación con los mismos.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
</t>
    </r>
  </si>
  <si>
    <r>
      <rPr>
        <b/>
        <sz val="12"/>
        <color rgb="FF000000"/>
        <rFont val="Arial"/>
        <family val="2"/>
      </rPr>
      <t xml:space="preserve">1. Línea de bomberos </t>
    </r>
    <r>
      <rPr>
        <sz val="12"/>
        <color rgb="FF000000"/>
        <rFont val="Arial"/>
        <family val="2"/>
      </rPr>
      <t xml:space="preserve">3136017836.
</t>
    </r>
    <r>
      <rPr>
        <b/>
        <sz val="12"/>
        <color rgb="FF000000"/>
        <rFont val="Arial"/>
        <family val="2"/>
      </rPr>
      <t xml:space="preserve">2. Línea de viajes </t>
    </r>
    <r>
      <rPr>
        <sz val="12"/>
        <color rgb="FF000000"/>
        <rFont val="Arial"/>
        <family val="2"/>
      </rPr>
      <t xml:space="preserve">seguros  
3162729715. 
</t>
    </r>
  </si>
  <si>
    <t>Cáceres</t>
  </si>
  <si>
    <t>4 horas 47 minutos</t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</si>
  <si>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Quien viaje a este municipio debe presentarse con la vacuna de fiebre amarilla 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Portar camisas corporativas manga larga para el sol, pava o gorra, botas de seguridad, jeans, repelente, bloqueador y  buena hidratación 
</t>
    </r>
    <r>
      <rPr>
        <b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 xml:space="preserve">. Clima cálido.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Evita el contacto con las mascotas.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al jefe inmediato, no se auto mediques, ni aceptes recomendaciones del personal farmacéutico.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</si>
  <si>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con volcó 4x4, GPS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y estar identificado al igual que el vehículo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Llevar alimentos, snacks y líquidos de ser necesario en caso de una eventualidad en la vía.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dinero en efectivo (en territorio, no siempre reciben transferencias o QR).  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Si tomas medicamentos recuerda llevarlo contigo.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Los conductores deberán realizar pausas activas a lo largo de recorrido.
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</si>
  <si>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municipio el estado de las vías, orden público ya que es zona roja  en la parte rural y urbana por grupos armados.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Estar atentos a los hostigamientos que se puede presentar por ser zona minera.
</t>
    </r>
    <r>
      <rPr>
        <b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 xml:space="preserve">.Confirmar si se encuentra los propietarios de las viviendas a 
</t>
    </r>
    <r>
      <rPr>
        <b/>
        <sz val="12"/>
        <color rgb="FF000000"/>
        <rFont val="Arial"/>
        <family val="2"/>
      </rPr>
      <t>4.Se sugiere</t>
    </r>
    <r>
      <rPr>
        <sz val="12"/>
        <color rgb="FF000000"/>
        <rFont val="Arial"/>
        <family val="2"/>
      </rPr>
      <t xml:space="preserve">: En caso de encontrarse con grupos armados acatar sus indicaciones, no hablar más de lo indicado, responder solo lo preguntado y no hacer uso del celular durante la conversación con   los mismos. 
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.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</si>
  <si>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 xml:space="preserve">1. Línea de viajes seguros  
</t>
    </r>
    <r>
      <rPr>
        <sz val="12"/>
        <color rgb="FF000000"/>
        <rFont val="Arial"/>
        <family val="2"/>
      </rPr>
      <t xml:space="preserve">3162729715. 
</t>
    </r>
  </si>
  <si>
    <t>Mutatá</t>
  </si>
  <si>
    <t>4 horas 28 minutos</t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</si>
  <si>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Quien viaje a este municipio debe presentarse con la vacuna de fiebre amarilla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Portar camisas corporativas manga larga para el sol , pava o gorra, botas de seguridad, jeans, repelente, bloqueador y  buena hidratación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Clima cálido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al jefe inmediato, no se automediques, ni aceptes recomendaciones del personal farmacéutico.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 el contacto con mascotas.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</si>
  <si>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Camioneta con volcó 4x4, GPS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Los conductores deben en lo posible estar cerca del personal en comisión o estar identificado al igual que el vehículo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Llevar alimentos, snacks y líquidos de ser necesario en caso de una eventualidad en la vía.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dinero en efectivo ( en territorio, no siempre reciben transferencias o QR). 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tomas medicamentos recuerda llevarlo contigo.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</si>
  <si>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t xml:space="preserve">Se debe tener en cuenta 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Comunicarse  con el enlace del municipio para corroborar en tema de orden público.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Comunicarse  al numeral #767 para obtener información sobre el estado actual de las vías.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Confirmar si se encuentra los propietarios de las viviendas a visitar.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Tener presente  que se puede presentar hostigamiento en cualquier momento.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</si>
  <si>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3128321687 - 3136106801
</t>
    </r>
    <r>
      <rPr>
        <b/>
        <sz val="12"/>
        <color rgb="FF000000"/>
        <rFont val="Arial"/>
        <family val="2"/>
      </rPr>
      <t>2.Línea de viajes seguros</t>
    </r>
    <r>
      <rPr>
        <sz val="12"/>
        <color rgb="FF000000"/>
        <rFont val="Arial"/>
        <family val="2"/>
      </rPr>
      <t xml:space="preserve">  
3162729715. </t>
    </r>
  </si>
  <si>
    <t>Z25</t>
  </si>
  <si>
    <t>Murindó (1)</t>
  </si>
  <si>
    <t>160km</t>
  </si>
  <si>
    <t>6 horas 54 minutos</t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</si>
  <si>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hidratación (no hay agua, protección solar, siempre se deben dirigir a las veredas o corregimientos acompañados de un funcionario de la alcaldía con el fin que pueda direccionarlos a lugar del mejoramientos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 Al terminar las actividades laborales, evitar estar en lugares alejados del lugar de descanso
3. Tener precaución al caminar ya que son por terrenos irregulares lo cual puede generar caídas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Evite el contacto con las mascotas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No consumir agua de las llaves ya que no es agua potable. (tener bebidas embotelladas)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a tu jefe inmediato, no te auto mediques, ni aceptes recomendaciones del personal farmacéutico. 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No consumir agua de la llave (NO ES POTABLE).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</si>
  <si>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
</t>
    </r>
    <r>
      <rPr>
        <b/>
        <sz val="12"/>
        <color theme="1"/>
        <rFont val="Arial"/>
        <family val="2"/>
      </rPr>
      <t xml:space="preserve">1. </t>
    </r>
    <r>
      <rPr>
        <sz val="12"/>
        <color theme="1"/>
        <rFont val="Arial"/>
        <family val="2"/>
      </rPr>
      <t xml:space="preserve">Para el desplazamiento por las vías del municipio camioneta 4X4 con GPS, para carreteras destapadas.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Reservar avioneta con anticipación en caso de autorizarse viaje aéreo.
</t>
    </r>
    <r>
      <rPr>
        <b/>
        <sz val="12"/>
        <color theme="1"/>
        <rFont val="Arial"/>
        <family val="2"/>
      </rPr>
      <t xml:space="preserve">3. </t>
    </r>
    <r>
      <rPr>
        <sz val="12"/>
        <color theme="1"/>
        <rFont val="Arial"/>
        <family val="2"/>
      </rPr>
      <t xml:space="preserve">Tener presente que en el caso de requerir transporte no convencional (Lancha), Solicitarlo al municipio con anticipación.
</t>
    </r>
    <r>
      <rPr>
        <b/>
        <sz val="12"/>
        <color theme="1"/>
        <rFont val="Arial"/>
        <family val="2"/>
      </rPr>
      <t>4.</t>
    </r>
    <r>
      <rPr>
        <sz val="12"/>
        <color theme="1"/>
        <rFont val="Arial"/>
        <family val="2"/>
      </rPr>
      <t xml:space="preserve">Llevar alimentos, snacks y líquidos de ser necesario en caso de una eventualidad en la vía.
</t>
    </r>
    <r>
      <rPr>
        <b/>
        <sz val="12"/>
        <color theme="1"/>
        <rFont val="Arial"/>
        <family val="2"/>
      </rPr>
      <t>5.</t>
    </r>
    <r>
      <rPr>
        <sz val="12"/>
        <color theme="1"/>
        <rFont val="Arial"/>
        <family val="2"/>
      </rPr>
      <t xml:space="preserve"> Llevar efectivo ya que no siempre se pueden hacer pago por trasferencias o código QR.
</t>
    </r>
    <r>
      <rPr>
        <b/>
        <sz val="12"/>
        <color theme="1"/>
        <rFont val="Arial"/>
        <family val="2"/>
      </rPr>
      <t>6.</t>
    </r>
    <r>
      <rPr>
        <sz val="12"/>
        <color theme="1"/>
        <rFont val="Arial"/>
        <family val="2"/>
      </rPr>
      <t xml:space="preserve"> Los conductores deberán realizar pausas activas a lo largo de recorrido.</t>
    </r>
  </si>
  <si>
    <r>
      <t xml:space="preserve">Se recomienda antes de iniciar la comisión: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Validar con el enlace del municipio la situación de orden público ya que es zona roja.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Confirmar si se encuentra los propietarios de las viviendas a visitar.
</t>
    </r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Se sugiere: En caso de encontrarse con grupos armados acatar sus indicaciones, no hablar más de lo indicado, responder solo lo preguntado y no hacer uso del celular durante la conversación con estos grupos armados.
</t>
    </r>
    <r>
      <rPr>
        <b/>
        <sz val="12"/>
        <color theme="1"/>
        <rFont val="Arial"/>
        <family val="2"/>
      </rPr>
      <t>4.</t>
    </r>
    <r>
      <rPr>
        <sz val="12"/>
        <color theme="1"/>
        <rFont val="Arial"/>
        <family val="2"/>
      </rPr>
      <t xml:space="preserve"> Si identifica una situación de orden público remitirse al área SST por medio de la línea viajes seguros. 
</t>
    </r>
  </si>
  <si>
    <r>
      <rPr>
        <sz val="12"/>
        <color rgb="FF000000"/>
        <rFont val="Arial"/>
        <family val="2"/>
      </rPr>
      <t xml:space="preserve">
</t>
    </r>
    <r>
      <rPr>
        <b/>
        <sz val="12"/>
        <color rgb="FF000000"/>
        <rFont val="Arial"/>
        <family val="2"/>
      </rPr>
      <t>1.	Línea de bombero</t>
    </r>
    <r>
      <rPr>
        <sz val="12"/>
        <color rgb="FF000000"/>
        <rFont val="Arial"/>
        <family val="2"/>
      </rPr>
      <t xml:space="preserve">s 
3105056239
</t>
    </r>
    <r>
      <rPr>
        <b/>
        <sz val="12"/>
        <color rgb="FF000000"/>
        <rFont val="Arial"/>
        <family val="2"/>
      </rPr>
      <t>2.Linea de viajes seguros</t>
    </r>
    <r>
      <rPr>
        <sz val="12"/>
        <color rgb="FF000000"/>
        <rFont val="Arial"/>
        <family val="2"/>
      </rPr>
      <t xml:space="preserve"> 
3162729715
</t>
    </r>
  </si>
  <si>
    <t>Z24</t>
  </si>
  <si>
    <t>Arboletes</t>
  </si>
  <si>
    <t>8 horas 45 minutos</t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</si>
  <si>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Portar camisas corporativas, pava o gorra, botas, tarros de agua (NO TIENEN AGUA POTABLE), repelente.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Dirigirse a las veredas o corregimientos acompañados de un funcionario de la alcaldía.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 Al terminar las actividades laborales, evitar estar en lugares alejados del lugar de descanso. En el pueblo encuentras, hoteles, almacenes y tiendas de mercado, en caso de una emergencia la estación de policía se encuentra ubicada entrado al pueblo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Clima cálido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al jefe inmediato, no se automediques, ni aceptes recomendaciones del personal farmacéutico. 
</t>
    </r>
    <r>
      <rPr>
        <b/>
        <sz val="12"/>
        <color rgb="FF000000"/>
        <rFont val="Arial"/>
        <family val="2"/>
      </rPr>
      <t>6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
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</si>
  <si>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con volcó 4x4, GPS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o estar identificado al igual que el vehículo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Llevar alimentos, snacks y líquidos de ser necesario en caso de una eventualidad en la vía.
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. Llevar dinero en efectivo ( en territorio, no siempre reciben transferencias o QR). 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tomas medicamentos recuerda llevarlo contigo.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</si>
  <si>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t xml:space="preserve">Se debe tener en cuenta 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Comunicarse  con el enlace del municipio para corroborar en tema de orden público.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Comunicarse  al numeral #767 para obtener información sobre el estado actual de las vías.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Confirmar si se encuentra los propietarios de las viviendas a visitar.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.Tener presente  que se puede presentar hostigamiento en cualquier momento.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</si>
  <si>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 xml:space="preserve">1. Línea de bomberos </t>
    </r>
    <r>
      <rPr>
        <sz val="12"/>
        <color rgb="FF000000"/>
        <rFont val="Arial"/>
        <family val="2"/>
      </rPr>
      <t xml:space="preserve">8200341 - 3135253960
</t>
    </r>
    <r>
      <rPr>
        <b/>
        <sz val="12"/>
        <color rgb="FF000000"/>
        <rFont val="Arial"/>
        <family val="2"/>
      </rPr>
      <t>2.Línea de viajes seguros</t>
    </r>
    <r>
      <rPr>
        <sz val="12"/>
        <color rgb="FF000000"/>
        <rFont val="Arial"/>
        <family val="2"/>
      </rPr>
      <t xml:space="preserve">  
3162729715. </t>
    </r>
  </si>
  <si>
    <t>San Pedro de Urabá</t>
  </si>
  <si>
    <t>8 horas 3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</si>
  <si>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Quien viaje a este municipio debe presentarse con la vacuna de fiebre amarilla 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Portar camisas corporativas manga larga para el sol , pava o gorra, botas de seguridad, jeans, repelente, bloqueador y  buena hidratación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Clima cálido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al jefe inmediato, no se auto mediques, ni aceptes recomendaciones del personal farmacéutico.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 el contacto con mascotas.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</si>
  <si>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con volcó 4x4, GPS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Los conductores deben en lo posible estar cerca del personal en comisión o estar identificado al igual que el vehículo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Llevar alimentos, snacks y líquidos de ser necesario en caso de una eventualidad en la vía.
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. Llevar dinero en efectivo ( en territorio, no siempre reciben transferencias o QR). 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tomas medicamentos recuerda llevarlo contigo.
</t>
    </r>
    <r>
      <rPr>
        <b/>
        <sz val="12"/>
        <color rgb="FF000000"/>
        <rFont val="Arial"/>
        <family val="2"/>
      </rPr>
      <t>7</t>
    </r>
    <r>
      <rPr>
        <sz val="12"/>
        <color rgb="FF000000"/>
        <rFont val="Arial"/>
        <family val="2"/>
      </rPr>
      <t>. Los conductores deberán realizar pausas activas a lo largo de recorrido.</t>
    </r>
  </si>
  <si>
    <r>
      <t xml:space="preserve">Se debe tener en cuenta: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Comunicarse  con el enlace del municipio para corroborar en tema de orden público.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Comunicarse  al numeral #767 para obtener información sobre el estado actual de las vías.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Confirmar si se encuentra los propietarios de las viviendas a visitar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Tener presente  que se puede presentar hostigamiento en cualquier momento.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</si>
  <si>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 xml:space="preserve">1. Línea de bomberos </t>
    </r>
    <r>
      <rPr>
        <sz val="12"/>
        <color rgb="FF000000"/>
        <rFont val="Arial"/>
        <family val="2"/>
      </rPr>
      <t xml:space="preserve">3218129531
</t>
    </r>
    <r>
      <rPr>
        <b/>
        <sz val="12"/>
        <color rgb="FF000000"/>
        <rFont val="Arial"/>
        <family val="2"/>
      </rPr>
      <t>2.Línea de viajes seguros</t>
    </r>
    <r>
      <rPr>
        <sz val="12"/>
        <color rgb="FF000000"/>
        <rFont val="Arial"/>
        <family val="2"/>
      </rPr>
      <t xml:space="preserve">  
3162729715. </t>
    </r>
  </si>
  <si>
    <t>San Juan de Urabá</t>
  </si>
  <si>
    <t>8 horas 25 minutos</t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</si>
  <si>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Quien viaje a este municipio debe presentarse con la vacuna de fiebre amarilla 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Portar camisas corporativas manga larga para el sol , pava o gorra, botas de seguridad, jeans, repelente, bloqueador y  buena hidratación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Clima cálido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al jefe inmediato, no se automediques, ni aceptes recomendaciones del personal farmacéutico.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 el contacto con mascotas.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</si>
  <si>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Camioneta con volcó 4x4, GPS
 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Los conductores deben en lo posible estar cerca del personal en comisión o estar identificado al igual que el vehículo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Llevar alimentos, snacks y líquidos de ser necesario en caso de una eventualidad en la vía.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dinero en efectivo ( en territorio, no siempre reciben transferencias o QR). 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Si tomas medicamentos recuerda llevarlo contigo.
</t>
    </r>
    <r>
      <rPr>
        <b/>
        <sz val="12"/>
        <color rgb="FF000000"/>
        <rFont val="Arial"/>
        <family val="2"/>
      </rPr>
      <t xml:space="preserve">7. </t>
    </r>
    <r>
      <rPr>
        <sz val="12"/>
        <color rgb="FF000000"/>
        <rFont val="Arial"/>
        <family val="2"/>
      </rPr>
      <t>Los conductores deberán realizar pausas activas a lo largo de recorrido.</t>
    </r>
  </si>
  <si>
    <r>
      <t xml:space="preserve">Se debe tener en cuenta 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Comunicarse  con el enlace del municipio para corroborar en tema de orden público.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Comunicarse  al numeral #767 para obtener información sobre el estado actual de las vías.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Confirmar si se encuentra los propietarios de las viviendas a visitar, 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Tener presente  que se puede presentar hostigamiento en cualquier momento.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</si>
  <si>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 xml:space="preserve">1. Línea de bomberos </t>
    </r>
    <r>
      <rPr>
        <sz val="12"/>
        <color rgb="FF000000"/>
        <rFont val="Arial"/>
        <family val="2"/>
      </rPr>
      <t xml:space="preserve">3127848725
</t>
    </r>
    <r>
      <rPr>
        <b/>
        <sz val="12"/>
        <color rgb="FF000000"/>
        <rFont val="Arial"/>
        <family val="2"/>
      </rPr>
      <t>2.Línea de viajes seguros</t>
    </r>
    <r>
      <rPr>
        <sz val="12"/>
        <color rgb="FF000000"/>
        <rFont val="Arial"/>
        <family val="2"/>
      </rPr>
      <t xml:space="preserve">  
3162729715. </t>
    </r>
  </si>
  <si>
    <t>Necoclí</t>
  </si>
  <si>
    <t>7 horas 16 minutos</t>
  </si>
  <si>
    <r>
      <t xml:space="preserve">Se recomienda: 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Portar camisas corporativas, pava o gorra, botas, tarros de agua (NO TIENEN AGUA POTABLE), repelente.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Dirigirse a las veredas o corregimientos acompañados de un funcionario de la alcaldía.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 Al terminar las actividades laborales, evitar estar en lugares alejados del lugar de descanso. En el pueblo encuentras, hoteles, almacenes y tiendas de mercado, en caso de una emergencia la estación de policía se encuentra ubicada entrado al pueblo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Clima cálido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al jefe inmediato, no se automediques, ni aceptes recomendaciones del personal farmacéutico.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 
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</si>
  <si>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con volcó 4x4, GPS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Los conductores deben en lo posible estar cerca del personal en comisión o estar identificado al igual que el vehículo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alimentos, snacks y líquidos de ser necesario en caso de una eventualidad en la vía.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dinero en efectivo ( en territorio, no siempre reciben transferencias o QR).  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Si tomas medicamentos recuerda llevarlo contigo.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</si>
  <si>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rPr>
        <b/>
        <sz val="12"/>
        <color rgb="FF000000"/>
        <rFont val="Arial"/>
        <family val="2"/>
      </rPr>
      <t>1. Línea de bomberos</t>
    </r>
    <r>
      <rPr>
        <sz val="12"/>
        <color rgb="FF000000"/>
        <rFont val="Arial"/>
        <family val="2"/>
      </rPr>
      <t xml:space="preserve"> 
3024293955
</t>
    </r>
    <r>
      <rPr>
        <b/>
        <sz val="12"/>
        <color rgb="FF000000"/>
        <rFont val="Arial"/>
        <family val="2"/>
      </rPr>
      <t>2.Línea de viajes seguros</t>
    </r>
    <r>
      <rPr>
        <sz val="12"/>
        <color rgb="FF000000"/>
        <rFont val="Arial"/>
        <family val="2"/>
      </rPr>
      <t xml:space="preserve">  
3162729715. </t>
    </r>
  </si>
  <si>
    <t>El Bagre</t>
  </si>
  <si>
    <t>7 horas 15 minutos</t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</si>
  <si>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Quien viaje a este municipio debe presentarse con la vacuna de fiebre amarilla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Portar camisas corporativas manga larga para el sol, pava o gorra, botas de seguridad, jeans, repelente, bloqueador y  buena hidratación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Clima cálido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al jefe inmediato, no se auto mediques, ni aceptes recomendaciones del personal farmacéutico.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 el contacto con mascotas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No consumir agua de la llave (NO ES POTABLE)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</si>
  <si>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Recomendaciones: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Camioneta con volcó 4x4, GPS.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Llevar alimentos, snacks y líquidos de ser necesario en caso de una eventualidad en la vía.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Llevar dinero en efectivo (en territorio, no siempre reciben transferencias o QR).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Los conductores deberán realizar pausas activas a lo largo de recorrido.
</t>
    </r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</si>
  <si>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Validar con el municipio el estado de las vías, orden público ya que es zona roja  en la parte rural y urbana por grupos armados.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Confirmar si se encuentra los propietarios de las viviendas a visitar, 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Tener presente  que se puede presentar hostigamiento en cualquier momento. 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>.</t>
    </r>
    <r>
      <rPr>
        <b/>
        <sz val="12"/>
        <color rgb="FF000000"/>
        <rFont val="Arial"/>
        <family val="2"/>
      </rPr>
      <t>Se sugiere:</t>
    </r>
    <r>
      <rPr>
        <sz val="12"/>
        <color rgb="FF000000"/>
        <rFont val="Arial"/>
        <family val="2"/>
      </rPr>
      <t xml:space="preserve"> En caso de encontrarse con grupos armados acatar sus indicaciones, responder solo lo preguntado y no hacer uso del celular durante la conversación con los mismos. 
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. Si identifica una situación de orden público remitirse al área SST por medio de la línea viajes seguros. 
</t>
    </r>
  </si>
  <si>
    <t>Turbo</t>
  </si>
  <si>
    <t>6 horas 30 minutos</t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</si>
  <si>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Quien viaje a este municipio debe presentarse con la vacuna de fiebre amarilla 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Portar camisas corporativas manga larga para el sol , pava o gorra, botas de seguridad, jeans, repelente, bloqueador y  buena hidratación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Clima cálido 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al jefe inmediato, no se  auto mediques, ni aceptes recomendaciones del personal farmacéutico.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 el contacto con mascotas.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</si>
  <si>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Camioneta con volcó 4x4, GPS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Los conductores deben en lo posible estar cerca del personal en comisión o estar identificado al igual que el vehículo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alimentos, snacks y líquidos de ser necesario en caso de una eventualidad en la vía.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Llevar dinero en efectivo ( en territorio, no siempre reciben transferencias o QR).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tomas medicamentos recuerda llevarlo contigo. 
</t>
    </r>
    <r>
      <rPr>
        <b/>
        <sz val="12"/>
        <color rgb="FF000000"/>
        <rFont val="Arial"/>
        <family val="2"/>
      </rPr>
      <t>7</t>
    </r>
    <r>
      <rPr>
        <sz val="12"/>
        <color rgb="FF000000"/>
        <rFont val="Arial"/>
        <family val="2"/>
      </rPr>
      <t xml:space="preserve">.Si tomas medicamentos recuerda llevarlo contigo.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</si>
  <si>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t xml:space="preserve">Se debe tener en cuenta   antes de dirigirse  al municipio: 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Comunicarse  con el enlace del municipio para corroborar en tema de orden público.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Comunicarse  previamente  con la línea de atención numeral #767para verificar el estado de las vías  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Confirmar si se encuentra los propietarios de las viviendas a visitar.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Tener presente  que se puede presentar hostigamiento en cualquier momento.
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.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</si>
  <si>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 xml:space="preserve">1. Línea de bomberos 
</t>
    </r>
    <r>
      <rPr>
        <sz val="12"/>
        <color rgb="FF000000"/>
        <rFont val="Arial"/>
        <family val="2"/>
      </rPr>
      <t xml:space="preserve">8272070- 3117194701
</t>
    </r>
    <r>
      <rPr>
        <b/>
        <sz val="12"/>
        <color rgb="FF000000"/>
        <rFont val="Arial"/>
        <family val="2"/>
      </rPr>
      <t>2.Línea de viajes seguros</t>
    </r>
    <r>
      <rPr>
        <sz val="12"/>
        <color rgb="FF000000"/>
        <rFont val="Arial"/>
        <family val="2"/>
      </rPr>
      <t xml:space="preserve">  
3162729715. </t>
    </r>
  </si>
  <si>
    <t>Yondó</t>
  </si>
  <si>
    <t>6 horas 27 minutos</t>
  </si>
  <si>
    <r>
      <t xml:space="preserve">Se recomienda: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 Quien viaje a este municipio debe presentarse con la vacuna de fiebre amarilla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Portar camisas corporativas manga larga para el sol, pava o gorra, botas de seguridad, jeans, repelente, bloqueador y  buena hidratación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Clima caliente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Evitar tocar mascotas 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Si presentas una condición de salud repórtala al área de seguridad y salud en el trabajo y al jefe inmediato, no te auto mediques, ni aceptes recomendaciones del personal farmacéutico. 
</t>
    </r>
    <r>
      <rPr>
        <b/>
        <sz val="12"/>
        <color rgb="FF000000"/>
        <rFont val="Arial"/>
        <family val="2"/>
      </rPr>
      <t xml:space="preserve">6. </t>
    </r>
    <r>
      <rPr>
        <sz val="12"/>
        <color rgb="FF000000"/>
        <rFont val="Arial"/>
        <family val="2"/>
      </rPr>
      <t xml:space="preserve">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</si>
  <si>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Camioneta con volcó 4x4, GPS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Los conductores deben en lo posible estar cerca del personal en comisión y estar identificado al igual que el vehículo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 Llevar alimentos, snacks y líquidos de ser necesario en caso de una eventualidad en la vía.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dinero en efectivo (en territorio, no siempre reciben transferencias o QR).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Tener precaución en la vía por fallas geológicas.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Si tomas medicamentos recuerda llevarlo contigo.
</t>
    </r>
    <r>
      <rPr>
        <b/>
        <sz val="12"/>
        <color rgb="FF000000"/>
        <rFont val="Arial"/>
        <family val="2"/>
      </rPr>
      <t>8.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</si>
  <si>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Comunicarse  con el enlace del municipio para corroborar en tema de orden público.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Comunicarse  al numeral #767 para obtener información sobre el estado actual de las vías.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Confirmar si se encuentra los propietarios de las viviendas a visitar.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</si>
  <si>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 xml:space="preserve">1.	Línea de bomberos 
</t>
    </r>
    <r>
      <rPr>
        <sz val="12"/>
        <color rgb="FF000000"/>
        <rFont val="Arial"/>
        <family val="2"/>
      </rPr>
      <t xml:space="preserve">3133681188
</t>
    </r>
    <r>
      <rPr>
        <b/>
        <sz val="12"/>
        <color rgb="FF000000"/>
        <rFont val="Arial"/>
        <family val="2"/>
      </rPr>
      <t xml:space="preserve">2.Linea de viajes seguros 
</t>
    </r>
    <r>
      <rPr>
        <sz val="12"/>
        <color rgb="FF000000"/>
        <rFont val="Arial"/>
        <family val="2"/>
      </rPr>
      <t xml:space="preserve">3162729715
</t>
    </r>
  </si>
  <si>
    <t>Apartadó</t>
  </si>
  <si>
    <t>6 horas</t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</si>
  <si>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Quien viaje a este municipio debe presentarse con la vacuna de fiebre amarilla 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Portar camisas corporativas manga larga para el sol, pava o gorra, botas de seguridad, jeans, repelente, bloqueador y  buena hidratación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Clima cálido 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al jefe inmediato, no te auto mediques, ni aceptes recomendaciones del personal farmacéutico.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 el contacto con mascotas.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</si>
  <si>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con volcó 4x4, GPS
</t>
    </r>
    <r>
      <rPr>
        <b/>
        <sz val="12"/>
        <color rgb="FF000000"/>
        <rFont val="Arial"/>
        <family val="2"/>
      </rPr>
      <t xml:space="preserve">2. </t>
    </r>
    <r>
      <rPr>
        <sz val="12"/>
        <color rgb="FF000000"/>
        <rFont val="Arial"/>
        <family val="2"/>
      </rPr>
      <t xml:space="preserve">Los conductores deben en lo posible estar cerca del personal en comisión y estar identificado al igual que el vehículo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alimentos, snacks y líquidos de ser necesario en caso de una eventualidad en la vía.
</t>
    </r>
    <r>
      <rPr>
        <b/>
        <sz val="12"/>
        <color rgb="FF000000"/>
        <rFont val="Arial"/>
        <family val="2"/>
      </rPr>
      <t xml:space="preserve">5. </t>
    </r>
    <r>
      <rPr>
        <sz val="12"/>
        <color rgb="FF000000"/>
        <rFont val="Arial"/>
        <family val="2"/>
      </rPr>
      <t xml:space="preserve">Llevar dinero en efectivo (en territorio, no siempre reciben transferencias o QR). 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Si tomas medicamentos recuerda llevarlo contigo.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Los conductores deberán realizar pausas activas a lo largo de recorrido.</t>
    </r>
  </si>
  <si>
    <r>
      <t xml:space="preserve">Se debe tener en cuenta: 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. Validar con el enlace del municipio la  situación de orden público.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Comunicarse  previamente  con la línea de atención de la concesión para verificar el estado para ese momento Contacto: 3105553979 o para reportar  #979 eventos en la vía. 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Confirmar si se encuentra los propietarios de las viviendas a visitar, </t>
    </r>
    <r>
      <rPr>
        <b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 xml:space="preserve">.Tener presente  que se puede presentar hostigamiento en cualquier momento).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</t>
    </r>
  </si>
  <si>
    <r>
      <rPr>
        <b/>
        <sz val="12"/>
        <color rgb="FF000000"/>
        <rFont val="Arial"/>
        <family val="2"/>
      </rPr>
      <t>1. Línea de bombero</t>
    </r>
    <r>
      <rPr>
        <sz val="12"/>
        <color rgb="FF000000"/>
        <rFont val="Arial"/>
        <family val="2"/>
      </rPr>
      <t xml:space="preserve"> 
3105125507
</t>
    </r>
    <r>
      <rPr>
        <b/>
        <sz val="12"/>
        <color rgb="FF000000"/>
        <rFont val="Arial"/>
        <family val="2"/>
      </rPr>
      <t>2.Línea de viajes seguros</t>
    </r>
    <r>
      <rPr>
        <sz val="12"/>
        <color rgb="FF000000"/>
        <rFont val="Arial"/>
        <family val="2"/>
      </rPr>
      <t xml:space="preserve">  
3162729715. </t>
    </r>
  </si>
  <si>
    <t>Tarazá</t>
  </si>
  <si>
    <t>4 horas 39 minutos</t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</si>
  <si>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Quien viaje a este municipio debe presentarse con la vacuna de fiebre amarilla.
</t>
    </r>
    <r>
      <rPr>
        <b/>
        <sz val="12"/>
        <color rgb="FF000000"/>
        <rFont val="Arial"/>
        <family val="2"/>
      </rPr>
      <t>2.</t>
    </r>
    <r>
      <rPr>
        <sz val="12"/>
        <color rgb="FF000000"/>
        <rFont val="Arial"/>
        <family val="2"/>
      </rPr>
      <t xml:space="preserve"> Portar camisas corporativas manga larga para el sol, pava o gorra, botas de seguridad, jeans, repelente, bloqueador y  buena hidratación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Clima cálido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Si presentas una condición de salud repórtala al área de seguridad y salud en el trabajo y al jefe inmediato, no te auto mediques, ni aceptes recomendaciones del personal farmacéutico.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Evita el contacto con mascotas.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No consumir agua de la llave (NO ES POTABLE)
</t>
    </r>
    <r>
      <rPr>
        <b/>
        <sz val="12"/>
        <color rgb="FF000000"/>
        <rFont val="Arial"/>
        <family val="2"/>
      </rPr>
      <t>7.</t>
    </r>
    <r>
      <rPr>
        <sz val="12"/>
        <color rgb="FF000000"/>
        <rFont val="Arial"/>
        <family val="2"/>
      </rPr>
      <t xml:space="preserve"> Si visitas zonas rurales e identificas que necesitas Elementos de protección personal (EPP) adicionales, solicitarlos al área SST. </t>
    </r>
  </si>
  <si>
    <r>
      <t xml:space="preserve">Se recomienda: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Camioneta con volcó 4x4, GPS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Los conductores deben en lo posible estar cerca del personal en comisión y estar identificado al igual que el vehículo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Salir con tiempo ya que hay pare y siga en la vía.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Llevar alimentos, snacks y líquidos de ser necesario en caso de una eventualidad en la vía.
</t>
    </r>
    <r>
      <rPr>
        <b/>
        <sz val="12"/>
        <color rgb="FF000000"/>
        <rFont val="Arial"/>
        <family val="2"/>
      </rPr>
      <t>5</t>
    </r>
    <r>
      <rPr>
        <sz val="12"/>
        <color rgb="FF000000"/>
        <rFont val="Arial"/>
        <family val="2"/>
      </rPr>
      <t xml:space="preserve">. Llevar dinero en efectivo (en territorio, no siempre reciben transferencias o QR). 
</t>
    </r>
    <r>
      <rPr>
        <b/>
        <sz val="12"/>
        <color rgb="FF000000"/>
        <rFont val="Arial"/>
        <family val="2"/>
      </rPr>
      <t>6</t>
    </r>
    <r>
      <rPr>
        <sz val="12"/>
        <color rgb="FF000000"/>
        <rFont val="Arial"/>
        <family val="2"/>
      </rPr>
      <t xml:space="preserve">. Si tomas medicamentos recuerda llevarlo contigo.
</t>
    </r>
    <r>
      <rPr>
        <b/>
        <sz val="12"/>
        <color rgb="FF000000"/>
        <rFont val="Arial"/>
        <family val="2"/>
      </rPr>
      <t xml:space="preserve">7. </t>
    </r>
    <r>
      <rPr>
        <sz val="12"/>
        <color rgb="FF000000"/>
        <rFont val="Arial"/>
        <family val="2"/>
      </rPr>
      <t xml:space="preserve">Los conductores deberán realizar pausas activas a lo largo de recorrido.
</t>
    </r>
  </si>
  <si>
    <r>
      <t xml:space="preserve">Se recomienda: 
</t>
    </r>
    <r>
      <rPr>
        <b/>
        <sz val="12"/>
        <color rgb="FF000000"/>
        <rFont val="Arial"/>
        <family val="2"/>
      </rPr>
      <t>1.</t>
    </r>
    <r>
      <rPr>
        <sz val="12"/>
        <color rgb="FF000000"/>
        <rFont val="Arial"/>
        <family val="2"/>
      </rPr>
      <t xml:space="preserve"> Validar con el municipio el estado de las vías, orden público ya que es zona roja  en la parte rural y urbana por grupos armado.
</t>
    </r>
    <r>
      <rPr>
        <b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. Estar atentos a los hostigamientos que se pueden presentar por paros mineros.
</t>
    </r>
    <r>
      <rPr>
        <b/>
        <sz val="12"/>
        <color rgb="FF000000"/>
        <rFont val="Arial"/>
        <family val="2"/>
      </rPr>
      <t>3.</t>
    </r>
    <r>
      <rPr>
        <sz val="12"/>
        <color rgb="FF000000"/>
        <rFont val="Arial"/>
        <family val="2"/>
      </rPr>
      <t xml:space="preserve"> Confirmar si se encuentra los propietarios de las viviendas a visitar.
</t>
    </r>
    <r>
      <rPr>
        <b/>
        <sz val="12"/>
        <color rgb="FF000000"/>
        <rFont val="Arial"/>
        <family val="2"/>
      </rPr>
      <t>4.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Se sugiere:</t>
    </r>
    <r>
      <rPr>
        <sz val="12"/>
        <color rgb="FF000000"/>
        <rFont val="Arial"/>
        <family val="2"/>
      </rPr>
      <t xml:space="preserve"> En caso de encontrarse con grupos armados acatar sus indicaciones, no hablar más de lo indicado, responder solo lo preguntado y no hacer uso del celular durante la conversación con   los mismos. 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Si identifica una situación de orden público remitirse al área SST por medio de la línea viajes seguros. </t>
    </r>
  </si>
  <si>
    <t>Vigía del Fuerte (1)</t>
  </si>
  <si>
    <t>152 km</t>
  </si>
  <si>
    <t>6 horas 25minutos</t>
  </si>
  <si>
    <r>
      <t xml:space="preserve">Se recomienda: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Quien viaje a este municipio debe presentarse con la vacuna de fiebre amarilla.
</t>
    </r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Portar camisas corporativas manga larga para el sol, pava o gorra, botas de seguridad, jeans, repelente y bloqueador y buena hidratación.
</t>
    </r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 Si presentas una condición de salud repórtala al área de seguridad y salud en el trabajo y a tu jefe inmediato, no te auto mediques, ni aceptes recomendaciones del personal farmacéutico.
</t>
    </r>
    <r>
      <rPr>
        <b/>
        <sz val="12"/>
        <color theme="1"/>
        <rFont val="Arial"/>
        <family val="2"/>
      </rPr>
      <t>4.</t>
    </r>
    <r>
      <rPr>
        <sz val="12"/>
        <color theme="1"/>
        <rFont val="Arial"/>
        <family val="2"/>
      </rPr>
      <t xml:space="preserve"> Evita el contacto con mascotas.
</t>
    </r>
    <r>
      <rPr>
        <b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 xml:space="preserve">. No consumir agua de la llave (NO ES POTABLE).
</t>
    </r>
    <r>
      <rPr>
        <b/>
        <sz val="12"/>
        <color theme="1"/>
        <rFont val="Arial"/>
        <family val="2"/>
      </rPr>
      <t>6.</t>
    </r>
    <r>
      <rPr>
        <sz val="12"/>
        <color theme="1"/>
        <rFont val="Arial"/>
        <family val="2"/>
      </rPr>
      <t xml:space="preserve"> Clima caliente.
</t>
    </r>
    <r>
      <rPr>
        <b/>
        <sz val="12"/>
        <color theme="1"/>
        <rFont val="Arial"/>
        <family val="2"/>
      </rPr>
      <t>7.</t>
    </r>
    <r>
      <rPr>
        <sz val="12"/>
        <color theme="1"/>
        <rFont val="Arial"/>
        <family val="2"/>
      </rPr>
      <t xml:space="preserve"> Si visitas zonas rurales e identificas que necesitas Elementos de protección personal (EPP) adicionales, solicitarlos al área SST. 
</t>
    </r>
  </si>
  <si>
    <r>
      <t xml:space="preserve">Se recomienda:
</t>
    </r>
    <r>
      <rPr>
        <b/>
        <sz val="12"/>
        <color rgb="FF000000"/>
        <rFont val="Arial"/>
        <family val="2"/>
      </rPr>
      <t xml:space="preserve">1. </t>
    </r>
    <r>
      <rPr>
        <sz val="12"/>
        <color rgb="FF000000"/>
        <rFont val="Arial"/>
        <family val="2"/>
      </rPr>
      <t xml:space="preserve">Viajar ya sea en avioneta si es autorizada  o camioneta con volcó 4x4, GPS
</t>
    </r>
    <r>
      <rPr>
        <b/>
        <sz val="12"/>
        <color rgb="FF000000"/>
        <rFont val="Arial"/>
        <family val="2"/>
      </rPr>
      <t xml:space="preserve"> 2.</t>
    </r>
    <r>
      <rPr>
        <sz val="12"/>
        <color rgb="FF000000"/>
        <rFont val="Arial"/>
        <family val="2"/>
      </rPr>
      <t xml:space="preserve"> Los conductores de los vehículos deben en lo posible estar cerca del personal en comisión y estar identificado al igual que el vehículo
</t>
    </r>
    <r>
      <rPr>
        <b/>
        <sz val="12"/>
        <color rgb="FF000000"/>
        <rFont val="Arial"/>
        <family val="2"/>
      </rPr>
      <t xml:space="preserve">4. </t>
    </r>
    <r>
      <rPr>
        <sz val="12"/>
        <color rgb="FF000000"/>
        <rFont val="Arial"/>
        <family val="2"/>
      </rPr>
      <t xml:space="preserve">Llevar alimentos, snacks y líquidos de ser necesario en caso de una eventualidad en la vía.
</t>
    </r>
    <r>
      <rPr>
        <b/>
        <sz val="12"/>
        <color rgb="FF000000"/>
        <rFont val="Arial"/>
        <family val="2"/>
      </rPr>
      <t>5.</t>
    </r>
    <r>
      <rPr>
        <sz val="12"/>
        <color rgb="FF000000"/>
        <rFont val="Arial"/>
        <family val="2"/>
      </rPr>
      <t xml:space="preserve"> Llevar dinero en efectivo (en territorio, no siempre reciben transferencias o QR). 
</t>
    </r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Los conductores deberán realizar pausas activas a lo largo de recorrido.
</t>
    </r>
  </si>
  <si>
    <r>
      <t xml:space="preserve">Se recomienda antes de iniciar la comisión:
</t>
    </r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Validar con el enlace del municipio la situación de orden público ya que es zona roja.
</t>
    </r>
    <r>
      <rPr>
        <b/>
        <sz val="12"/>
        <color theme="1"/>
        <rFont val="Arial"/>
        <family val="2"/>
      </rPr>
      <t xml:space="preserve">2. </t>
    </r>
    <r>
      <rPr>
        <sz val="12"/>
        <color theme="1"/>
        <rFont val="Arial"/>
        <family val="2"/>
      </rPr>
      <t xml:space="preserve">Confirmar si se encuentra los propietarios de las viviendas a visitar.
</t>
    </r>
    <r>
      <rPr>
        <b/>
        <sz val="12"/>
        <color theme="1"/>
        <rFont val="Arial"/>
        <family val="2"/>
      </rPr>
      <t xml:space="preserve">3. </t>
    </r>
    <r>
      <rPr>
        <sz val="12"/>
        <color theme="1"/>
        <rFont val="Arial"/>
        <family val="2"/>
      </rPr>
      <t xml:space="preserve">Se sugiere: En caso de encontrarse con grupos armados acatar sus indicaciones, no hablar más de lo indicado, responder solo lo preguntado y no hacer uso del celular durante la conversación con estos grupos armados.
</t>
    </r>
    <r>
      <rPr>
        <b/>
        <sz val="12"/>
        <color theme="1"/>
        <rFont val="Arial"/>
        <family val="2"/>
      </rPr>
      <t>4.</t>
    </r>
    <r>
      <rPr>
        <sz val="12"/>
        <color theme="1"/>
        <rFont val="Arial"/>
        <family val="2"/>
      </rPr>
      <t xml:space="preserve"> Si identifica una situación de orden público remitirse al área SST por medio de la línea viajes seguros.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</si>
</sst>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dd/mm/yyyy;@"/>
    <numFmt numFmtId="167" formatCode="_-&quot;$&quot;\ * #,##0_-;\-&quot;$&quot;\ * #,##0_-;_-&quot;$&quot;\ * &quot;-&quot;??_-;_-@_-"/>
    <numFmt numFmtId="168" formatCode="&quot;$&quot;\ #,##0.00"/>
    <numFmt numFmtId="169" formatCode="#,##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indexed="8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b/>
      <sz val="12"/>
      <color rgb="FF333333"/>
      <name val="Arial"/>
      <family val="2"/>
    </font>
    <font>
      <b/>
      <sz val="11"/>
      <color rgb="FF333333"/>
      <name val="Open Sans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333333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5E0B4"/>
        <bgColor rgb="FFA9D18E"/>
      </patternFill>
    </fill>
    <fill>
      <patternFill patternType="solid">
        <fgColor rgb="FFE2EFDA"/>
        <bgColor rgb="FFE2EFDA"/>
      </patternFill>
    </fill>
    <fill>
      <patternFill patternType="solid">
        <fgColor theme="9" tint="0.79998168889431442"/>
        <bgColor theme="9" tint="0.79998168889431442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4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wrapText="1"/>
    </xf>
    <xf numFmtId="0" fontId="2" fillId="2" borderId="0" xfId="0" applyFont="1" applyFill="1"/>
    <xf numFmtId="167" fontId="2" fillId="2" borderId="0" xfId="1" applyNumberFormat="1" applyFont="1" applyFill="1" applyBorder="1"/>
    <xf numFmtId="0" fontId="2" fillId="0" borderId="0" xfId="0" applyFont="1"/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0" borderId="0" xfId="0" applyFont="1"/>
    <xf numFmtId="0" fontId="4" fillId="2" borderId="9" xfId="0" applyFont="1" applyFill="1" applyBorder="1"/>
    <xf numFmtId="0" fontId="5" fillId="2" borderId="0" xfId="0" applyFont="1" applyFill="1"/>
    <xf numFmtId="0" fontId="4" fillId="2" borderId="0" xfId="0" applyFont="1" applyFill="1" applyAlignment="1">
      <alignment vertical="center" wrapText="1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/>
    <xf numFmtId="0" fontId="5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2" borderId="8" xfId="0" applyFont="1" applyFill="1" applyBorder="1"/>
    <xf numFmtId="166" fontId="4" fillId="2" borderId="8" xfId="0" applyNumberFormat="1" applyFont="1" applyFill="1" applyBorder="1"/>
    <xf numFmtId="167" fontId="4" fillId="2" borderId="8" xfId="1" applyNumberFormat="1" applyFont="1" applyFill="1" applyBorder="1"/>
    <xf numFmtId="0" fontId="4" fillId="0" borderId="8" xfId="0" applyFont="1" applyBorder="1"/>
    <xf numFmtId="167" fontId="4" fillId="0" borderId="8" xfId="1" applyNumberFormat="1" applyFont="1" applyBorder="1"/>
    <xf numFmtId="0" fontId="4" fillId="2" borderId="4" xfId="0" applyFont="1" applyFill="1" applyBorder="1"/>
    <xf numFmtId="0" fontId="4" fillId="0" borderId="5" xfId="0" applyFont="1" applyBorder="1"/>
    <xf numFmtId="0" fontId="4" fillId="2" borderId="8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6" fillId="4" borderId="9" xfId="0" applyFont="1" applyFill="1" applyBorder="1" applyAlignment="1">
      <alignment wrapText="1"/>
    </xf>
    <xf numFmtId="0" fontId="6" fillId="4" borderId="9" xfId="0" applyFont="1" applyFill="1" applyBorder="1" applyAlignment="1">
      <alignment horizontal="right" wrapText="1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vertical="center"/>
    </xf>
    <xf numFmtId="0" fontId="4" fillId="2" borderId="0" xfId="0" applyFont="1" applyFill="1" applyAlignment="1">
      <alignment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/>
    </xf>
    <xf numFmtId="167" fontId="11" fillId="2" borderId="21" xfId="1" applyNumberFormat="1" applyFont="1" applyFill="1" applyBorder="1" applyAlignment="1">
      <alignment horizontal="center" vertical="center"/>
    </xf>
    <xf numFmtId="167" fontId="11" fillId="2" borderId="21" xfId="1" applyNumberFormat="1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 wrapText="1"/>
    </xf>
    <xf numFmtId="167" fontId="0" fillId="2" borderId="21" xfId="1" applyNumberFormat="1" applyFont="1" applyFill="1" applyBorder="1"/>
    <xf numFmtId="167" fontId="0" fillId="2" borderId="21" xfId="0" applyNumberFormat="1" applyFill="1" applyBorder="1"/>
    <xf numFmtId="0" fontId="0" fillId="2" borderId="21" xfId="0" applyFill="1" applyBorder="1"/>
    <xf numFmtId="0" fontId="15" fillId="2" borderId="21" xfId="0" applyFont="1" applyFill="1" applyBorder="1" applyAlignment="1">
      <alignment horizontal="left" vertical="center" wrapText="1"/>
    </xf>
    <xf numFmtId="0" fontId="13" fillId="2" borderId="26" xfId="0" applyFont="1" applyFill="1" applyBorder="1"/>
    <xf numFmtId="0" fontId="13" fillId="2" borderId="21" xfId="0" applyFont="1" applyFill="1" applyBorder="1"/>
    <xf numFmtId="0" fontId="13" fillId="2" borderId="21" xfId="0" applyFont="1" applyFill="1" applyBorder="1" applyAlignment="1">
      <alignment horizontal="left" vertical="center" wrapText="1"/>
    </xf>
    <xf numFmtId="0" fontId="15" fillId="2" borderId="23" xfId="0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21" xfId="0" applyFont="1" applyBorder="1"/>
    <xf numFmtId="0" fontId="15" fillId="2" borderId="22" xfId="0" applyFont="1" applyFill="1" applyBorder="1" applyAlignment="1">
      <alignment horizontal="left" vertical="center" wrapText="1"/>
    </xf>
    <xf numFmtId="0" fontId="13" fillId="2" borderId="25" xfId="0" applyFont="1" applyFill="1" applyBorder="1"/>
    <xf numFmtId="0" fontId="15" fillId="2" borderId="26" xfId="0" applyFont="1" applyFill="1" applyBorder="1" applyAlignment="1">
      <alignment horizontal="left" vertical="center" wrapText="1"/>
    </xf>
    <xf numFmtId="0" fontId="15" fillId="4" borderId="21" xfId="0" applyFont="1" applyFill="1" applyBorder="1" applyAlignment="1">
      <alignment horizontal="left" vertical="center" wrapText="1"/>
    </xf>
    <xf numFmtId="0" fontId="15" fillId="4" borderId="25" xfId="0" applyFont="1" applyFill="1" applyBorder="1" applyAlignment="1">
      <alignment horizontal="left" vertical="center" wrapText="1"/>
    </xf>
    <xf numFmtId="0" fontId="16" fillId="4" borderId="21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vertical="center"/>
    </xf>
    <xf numFmtId="0" fontId="15" fillId="2" borderId="0" xfId="0" applyFont="1" applyFill="1" applyAlignment="1">
      <alignment horizontal="left" vertical="center" wrapText="1"/>
    </xf>
    <xf numFmtId="0" fontId="15" fillId="2" borderId="21" xfId="0" applyFont="1" applyFill="1" applyBorder="1" applyAlignment="1">
      <alignment vertical="top" wrapText="1"/>
    </xf>
    <xf numFmtId="0" fontId="16" fillId="2" borderId="2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20" fontId="14" fillId="2" borderId="21" xfId="0" applyNumberFormat="1" applyFont="1" applyFill="1" applyBorder="1" applyAlignment="1">
      <alignment horizontal="center" vertical="center" wrapText="1"/>
    </xf>
    <xf numFmtId="167" fontId="0" fillId="0" borderId="21" xfId="1" applyNumberFormat="1" applyFont="1" applyBorder="1"/>
    <xf numFmtId="0" fontId="13" fillId="2" borderId="21" xfId="0" applyFont="1" applyFill="1" applyBorder="1" applyAlignment="1">
      <alignment horizontal="left" vertical="center"/>
    </xf>
    <xf numFmtId="0" fontId="0" fillId="0" borderId="0" xfId="0" quotePrefix="1"/>
    <xf numFmtId="0" fontId="4" fillId="2" borderId="8" xfId="0" quotePrefix="1" applyFont="1" applyFill="1" applyBorder="1"/>
    <xf numFmtId="168" fontId="0" fillId="0" borderId="27" xfId="1" applyNumberFormat="1" applyFont="1" applyBorder="1" applyAlignment="1">
      <alignment horizontal="left"/>
    </xf>
    <xf numFmtId="14" fontId="17" fillId="0" borderId="27" xfId="1" applyNumberFormat="1" applyFont="1" applyBorder="1" applyAlignment="1">
      <alignment horizontal="center"/>
    </xf>
    <xf numFmtId="168" fontId="17" fillId="0" borderId="27" xfId="1" applyNumberFormat="1" applyFont="1" applyBorder="1" applyAlignment="1">
      <alignment horizontal="left"/>
    </xf>
    <xf numFmtId="169" fontId="0" fillId="0" borderId="27" xfId="1" applyNumberFormat="1" applyFont="1" applyBorder="1"/>
    <xf numFmtId="169" fontId="0" fillId="0" borderId="27" xfId="1" applyNumberFormat="1" applyFont="1" applyBorder="1" applyAlignment="1"/>
    <xf numFmtId="168" fontId="0" fillId="0" borderId="27" xfId="0" applyNumberFormat="1" applyBorder="1"/>
    <xf numFmtId="168" fontId="0" fillId="0" borderId="27" xfId="1" applyNumberFormat="1" applyFont="1" applyBorder="1"/>
    <xf numFmtId="168" fontId="2" fillId="0" borderId="27" xfId="1" applyNumberFormat="1" applyFont="1" applyBorder="1"/>
    <xf numFmtId="0" fontId="19" fillId="5" borderId="28" xfId="0" applyFont="1" applyFill="1" applyBorder="1"/>
    <xf numFmtId="0" fontId="19" fillId="5" borderId="28" xfId="0" applyFont="1" applyFill="1" applyBorder="1" applyAlignment="1">
      <alignment wrapText="1"/>
    </xf>
    <xf numFmtId="14" fontId="19" fillId="5" borderId="28" xfId="0" applyNumberFormat="1" applyFont="1" applyFill="1" applyBorder="1"/>
    <xf numFmtId="0" fontId="19" fillId="6" borderId="28" xfId="0" applyFont="1" applyFill="1" applyBorder="1"/>
    <xf numFmtId="168" fontId="0" fillId="7" borderId="28" xfId="0" applyNumberFormat="1" applyFill="1" applyBorder="1"/>
    <xf numFmtId="168" fontId="0" fillId="7" borderId="28" xfId="1" applyNumberFormat="1" applyFont="1" applyFill="1" applyBorder="1"/>
    <xf numFmtId="168" fontId="2" fillId="7" borderId="28" xfId="1" applyNumberFormat="1" applyFont="1" applyFill="1" applyBorder="1"/>
    <xf numFmtId="0" fontId="6" fillId="0" borderId="28" xfId="0" applyFont="1" applyBorder="1"/>
    <xf numFmtId="0" fontId="19" fillId="0" borderId="28" xfId="0" applyFont="1" applyBorder="1"/>
    <xf numFmtId="168" fontId="0" fillId="0" borderId="28" xfId="0" applyNumberFormat="1" applyBorder="1"/>
    <xf numFmtId="168" fontId="0" fillId="0" borderId="28" xfId="1" applyNumberFormat="1" applyFont="1" applyBorder="1"/>
    <xf numFmtId="0" fontId="4" fillId="2" borderId="0" xfId="0" applyFont="1" applyFill="1" applyAlignment="1">
      <alignment horizontal="center" vertical="center"/>
    </xf>
    <xf numFmtId="14" fontId="6" fillId="6" borderId="28" xfId="0" applyNumberFormat="1" applyFont="1" applyFill="1" applyBorder="1"/>
    <xf numFmtId="164" fontId="19" fillId="6" borderId="28" xfId="0" applyNumberFormat="1" applyFont="1" applyFill="1" applyBorder="1"/>
    <xf numFmtId="0" fontId="4" fillId="2" borderId="0" xfId="0" applyFont="1" applyFill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67" fontId="5" fillId="2" borderId="1" xfId="1" applyNumberFormat="1" applyFont="1" applyFill="1" applyBorder="1" applyAlignment="1">
      <alignment vertical="center"/>
    </xf>
    <xf numFmtId="167" fontId="5" fillId="2" borderId="3" xfId="1" applyNumberFormat="1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7" fillId="0" borderId="8" xfId="0" applyFont="1" applyBorder="1" applyAlignment="1">
      <alignment horizontal="left" vertical="top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 wrapText="1"/>
    </xf>
    <xf numFmtId="3" fontId="4" fillId="2" borderId="8" xfId="0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396464</xdr:colOff>
      <xdr:row>0</xdr:row>
      <xdr:rowOff>177512</xdr:rowOff>
    </xdr:from>
    <xdr:to>
      <xdr:col>15</xdr:col>
      <xdr:colOff>239240</xdr:colOff>
      <xdr:row>5</xdr:row>
      <xdr:rowOff>0</xdr:rowOff>
    </xdr:to>
    <xdr:sp macro="" textlink="">
      <xdr:nvSpPr>
        <xdr:cNvPr id="2" name="Cuadro de texto 2">
          <a:extLst>
            <a:ext uri="{FF2B5EF4-FFF2-40B4-BE49-F238E27FC236}">
              <a16:creationId xmlns:a16="http://schemas.microsoft.com/office/drawing/2014/main" id="{14D0615C-4E75-401A-947E-852BABBFD208}"/>
            </a:ext>
          </a:extLst>
        </xdr:cNvPr>
        <xdr:cNvSpPr txBox="1"/>
      </xdr:nvSpPr>
      <xdr:spPr>
        <a:xfrm>
          <a:off x="3553321" y="177512"/>
          <a:ext cx="9177276" cy="774988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ts val="1700"/>
            </a:lnSpc>
            <a:spcBef>
              <a:spcPts val="0"/>
            </a:spcBef>
            <a:spcAft>
              <a:spcPts val="0"/>
            </a:spcAft>
            <a:tabLst>
              <a:tab pos="2806065" algn="ctr"/>
              <a:tab pos="5612130" algn="r"/>
              <a:tab pos="2209800" algn="l"/>
            </a:tabLst>
          </a:pPr>
          <a:r>
            <a:rPr lang="es-CO" sz="12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ENCARGO DE COMISIÓN</a:t>
          </a:r>
          <a:endParaRPr lang="es-CO" sz="1200" b="1">
            <a:solidFill>
              <a:sysClr val="windowText" lastClr="000000"/>
            </a:solidFill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60723</xdr:colOff>
      <xdr:row>0</xdr:row>
      <xdr:rowOff>0</xdr:rowOff>
    </xdr:from>
    <xdr:to>
      <xdr:col>5</xdr:col>
      <xdr:colOff>1174216</xdr:colOff>
      <xdr:row>5</xdr:row>
      <xdr:rowOff>258535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27B585F-BC97-7F6F-D2AE-441F3F3784C4}"/>
            </a:ext>
            <a:ext uri="{147F2762-F138-4A5C-976F-8EAC2B608ADB}">
              <a16:predDERef xmlns:a16="http://schemas.microsoft.com/office/drawing/2014/main" pred="{14D0615C-4E75-401A-947E-852BABBFD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571116" y="0"/>
          <a:ext cx="2759957" cy="145596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D04D-6784-4C74-A5F4-8271BDB4A323}">
  <sheetPr>
    <pageSetUpPr fitToPage="1"/>
  </sheetPr>
  <dimension ref="A1:W85"/>
  <sheetViews>
    <sheetView tabSelected="1" showWhiteSpace="0" topLeftCell="A31" zoomScale="56" zoomScaleNormal="56" zoomScalePageLayoutView="60" workbookViewId="0">
      <selection activeCell="F61" sqref="F61:G61"/>
    </sheetView>
  </sheetViews>
  <sheetFormatPr defaultColWidth="11.42578125" defaultRowHeight="15"/>
  <cols>
    <col min="1" max="1" width="4.140625" customWidth="1"/>
    <col min="2" max="2" width="2.7109375" customWidth="1"/>
    <col min="3" max="3" width="2.85546875" customWidth="1"/>
    <col min="4" max="4" width="13.140625" customWidth="1"/>
    <col min="5" max="5" width="24.7109375" customWidth="1"/>
    <col min="6" max="7" width="22.7109375" customWidth="1"/>
    <col min="8" max="8" width="11.7109375" customWidth="1"/>
    <col min="9" max="9" width="15.5703125" customWidth="1"/>
    <col min="10" max="10" width="14" customWidth="1"/>
    <col min="11" max="11" width="12.5703125" customWidth="1"/>
    <col min="12" max="12" width="16.28515625" customWidth="1"/>
    <col min="13" max="13" width="17.140625" style="1" customWidth="1"/>
    <col min="14" max="15" width="19" style="1" customWidth="1"/>
    <col min="16" max="16" width="16.28515625" customWidth="1"/>
    <col min="17" max="17" width="22.5703125" customWidth="1"/>
    <col min="18" max="18" width="5.42578125" style="1" customWidth="1"/>
  </cols>
  <sheetData>
    <row r="1" spans="1:20">
      <c r="A1" s="1"/>
      <c r="B1" s="1"/>
      <c r="C1" s="1"/>
      <c r="D1" s="128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30"/>
      <c r="S1" s="1"/>
    </row>
    <row r="2" spans="1:20">
      <c r="A2" s="1"/>
      <c r="B2" s="1"/>
      <c r="C2" s="1"/>
      <c r="D2" s="131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3"/>
      <c r="S2" s="1"/>
      <c r="T2" s="1"/>
    </row>
    <row r="3" spans="1:20" ht="28.5" customHeight="1">
      <c r="A3" s="1"/>
      <c r="B3" s="1"/>
      <c r="C3" s="1"/>
      <c r="D3" s="131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3"/>
      <c r="S3" s="1"/>
      <c r="T3" s="1"/>
    </row>
    <row r="4" spans="1:20">
      <c r="A4" s="1"/>
      <c r="B4" s="1"/>
      <c r="C4" s="1"/>
      <c r="D4" s="131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3"/>
      <c r="S4" s="1"/>
      <c r="T4" s="1"/>
    </row>
    <row r="5" spans="1:20" ht="20.25" customHeight="1">
      <c r="A5" s="1"/>
      <c r="B5" s="1"/>
      <c r="C5" s="1"/>
      <c r="D5" s="131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3"/>
      <c r="S5" s="1"/>
      <c r="T5" s="1"/>
    </row>
    <row r="6" spans="1:20" ht="25.5" customHeight="1" thickBot="1">
      <c r="A6" s="1"/>
      <c r="B6" s="1"/>
      <c r="C6" s="1"/>
      <c r="D6" s="134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6"/>
      <c r="S6" s="1"/>
      <c r="T6" s="1"/>
    </row>
    <row r="7" spans="1:20" ht="32.25" customHeight="1">
      <c r="A7" s="1"/>
      <c r="B7" s="1"/>
      <c r="C7" s="1"/>
      <c r="D7" s="141" t="s">
        <v>0</v>
      </c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3"/>
      <c r="R7" s="2"/>
      <c r="T7" s="1"/>
    </row>
    <row r="8" spans="1:20">
      <c r="A8" s="1"/>
      <c r="B8" s="1"/>
      <c r="C8" s="1"/>
      <c r="D8" s="11"/>
      <c r="E8" s="12"/>
      <c r="F8" s="12"/>
      <c r="G8" s="12"/>
      <c r="H8" s="12"/>
      <c r="I8" s="12"/>
      <c r="J8" s="12"/>
      <c r="K8" s="12"/>
      <c r="L8" s="12"/>
      <c r="M8" s="13"/>
      <c r="N8" s="13"/>
      <c r="O8" s="13"/>
      <c r="P8" s="13"/>
      <c r="Q8" s="14"/>
      <c r="S8" s="1"/>
      <c r="T8" s="1"/>
    </row>
    <row r="9" spans="1:20" ht="45.75" customHeight="1">
      <c r="A9" s="1"/>
      <c r="B9" s="1"/>
      <c r="C9" s="1"/>
      <c r="D9" s="15"/>
      <c r="E9" s="36" t="s">
        <v>1</v>
      </c>
      <c r="F9" s="102" t="s">
        <v>2</v>
      </c>
      <c r="G9" s="102"/>
      <c r="H9" s="9"/>
      <c r="I9" s="16"/>
      <c r="J9" s="9"/>
      <c r="K9" s="9"/>
      <c r="L9" s="108" t="s">
        <v>3</v>
      </c>
      <c r="M9" s="108"/>
      <c r="N9" s="103" t="s">
        <v>4</v>
      </c>
      <c r="O9" s="103"/>
      <c r="P9" s="103"/>
      <c r="Q9" s="17"/>
      <c r="S9" s="1"/>
      <c r="T9" s="1"/>
    </row>
    <row r="10" spans="1:20" ht="25.5" customHeight="1">
      <c r="A10" s="1"/>
      <c r="B10" s="1"/>
      <c r="C10" s="1"/>
      <c r="D10" s="15"/>
      <c r="E10" s="18"/>
      <c r="F10" s="9"/>
      <c r="G10" s="9"/>
      <c r="H10" s="9"/>
      <c r="I10" s="9"/>
      <c r="J10" s="9"/>
      <c r="K10" s="9"/>
      <c r="L10" s="9"/>
      <c r="M10" s="18"/>
      <c r="N10" s="9"/>
      <c r="O10" s="9"/>
      <c r="P10" s="9"/>
      <c r="Q10" s="17"/>
      <c r="S10" s="1"/>
      <c r="T10" s="1"/>
    </row>
    <row r="11" spans="1:20" ht="33.75" customHeight="1">
      <c r="A11" s="1"/>
      <c r="B11" s="1"/>
      <c r="C11" s="1"/>
      <c r="D11" s="15"/>
      <c r="E11" s="37" t="s">
        <v>5</v>
      </c>
      <c r="F11" s="144"/>
      <c r="G11" s="107"/>
      <c r="H11" s="9"/>
      <c r="I11" s="9"/>
      <c r="J11" s="9"/>
      <c r="K11" s="9"/>
      <c r="L11" s="9"/>
      <c r="M11" s="18"/>
      <c r="N11" s="9"/>
      <c r="O11" s="9"/>
      <c r="P11" s="9"/>
      <c r="Q11" s="17"/>
      <c r="S11" s="1"/>
      <c r="T11" s="1"/>
    </row>
    <row r="12" spans="1:20" ht="21.75" customHeight="1">
      <c r="A12" s="1"/>
      <c r="B12" s="1"/>
      <c r="C12" s="1"/>
      <c r="D12" s="15"/>
      <c r="E12" s="18"/>
      <c r="F12" s="9"/>
      <c r="G12" s="9"/>
      <c r="H12" s="9"/>
      <c r="I12" s="10"/>
      <c r="J12" s="9"/>
      <c r="K12" s="9"/>
      <c r="L12" s="9"/>
      <c r="M12" s="18"/>
      <c r="N12" s="9"/>
      <c r="O12" s="9"/>
      <c r="P12" s="9"/>
      <c r="Q12" s="17"/>
      <c r="S12" s="1"/>
      <c r="T12" s="1"/>
    </row>
    <row r="13" spans="1:20" ht="31.5" customHeight="1">
      <c r="A13" s="1"/>
      <c r="B13" s="1"/>
      <c r="C13" s="1"/>
      <c r="D13" s="15"/>
      <c r="E13" s="37" t="s">
        <v>6</v>
      </c>
      <c r="F13" s="145"/>
      <c r="G13" s="138"/>
      <c r="H13" s="9"/>
      <c r="I13" s="16"/>
      <c r="J13" s="10"/>
      <c r="K13" s="9"/>
      <c r="L13" s="9"/>
      <c r="M13" s="18"/>
      <c r="N13" s="9"/>
      <c r="O13" s="9"/>
      <c r="P13" s="9"/>
      <c r="Q13" s="17"/>
      <c r="S13" s="1"/>
      <c r="T13" s="1"/>
    </row>
    <row r="14" spans="1:20" ht="25.5" customHeight="1">
      <c r="A14" s="1"/>
      <c r="B14" s="1"/>
      <c r="C14" s="1"/>
      <c r="D14" s="15"/>
      <c r="E14" s="18"/>
      <c r="F14" s="9"/>
      <c r="G14" s="9"/>
      <c r="H14" s="9"/>
      <c r="I14" s="10"/>
      <c r="J14" s="9"/>
      <c r="K14" s="9"/>
      <c r="L14" s="9"/>
      <c r="M14" s="18"/>
      <c r="N14" s="9"/>
      <c r="O14" s="9"/>
      <c r="P14" s="9"/>
      <c r="Q14" s="17"/>
      <c r="S14" s="1"/>
      <c r="T14" s="1"/>
    </row>
    <row r="15" spans="1:20" ht="36" customHeight="1">
      <c r="A15" s="1"/>
      <c r="B15" s="1"/>
      <c r="C15" s="1"/>
      <c r="D15" s="15"/>
      <c r="E15" s="38" t="s">
        <v>7</v>
      </c>
      <c r="F15" s="146"/>
      <c r="G15" s="139"/>
      <c r="H15" s="9"/>
      <c r="I15" s="19"/>
      <c r="J15" s="9"/>
      <c r="K15" s="10"/>
      <c r="L15" s="10"/>
      <c r="M15" s="18"/>
      <c r="N15" s="9"/>
      <c r="O15" s="9"/>
      <c r="P15" s="9"/>
      <c r="Q15" s="17"/>
      <c r="S15" s="1"/>
      <c r="T15" s="1"/>
    </row>
    <row r="16" spans="1:20" ht="30.75" customHeight="1">
      <c r="A16" s="1"/>
      <c r="B16" s="1"/>
      <c r="C16" s="1"/>
      <c r="D16" s="15"/>
      <c r="E16" s="18"/>
      <c r="F16" s="9"/>
      <c r="G16" s="9"/>
      <c r="H16" s="9"/>
      <c r="I16" s="9"/>
      <c r="J16" s="9"/>
      <c r="K16" s="9"/>
      <c r="L16" s="9"/>
      <c r="M16" s="18"/>
      <c r="N16" s="9"/>
      <c r="O16" s="9"/>
      <c r="P16" s="9"/>
      <c r="Q16" s="17"/>
      <c r="S16" s="1"/>
      <c r="T16" s="1"/>
    </row>
    <row r="17" spans="1:23" ht="37.5" customHeight="1">
      <c r="A17" s="1"/>
      <c r="B17" s="1"/>
      <c r="C17" s="1"/>
      <c r="D17" s="15"/>
      <c r="E17" s="38" t="s">
        <v>8</v>
      </c>
      <c r="F17" s="139"/>
      <c r="G17" s="139"/>
      <c r="H17" s="9"/>
      <c r="I17" s="9"/>
      <c r="J17" s="9"/>
      <c r="K17" s="9"/>
      <c r="L17" s="9"/>
      <c r="M17" s="18"/>
      <c r="N17" s="9"/>
      <c r="O17" s="9"/>
      <c r="P17" s="9"/>
      <c r="Q17" s="17"/>
      <c r="S17" s="1"/>
      <c r="T17" s="1"/>
      <c r="W17" t="s">
        <v>9</v>
      </c>
    </row>
    <row r="18" spans="1:23" ht="22.5" customHeight="1">
      <c r="A18" s="1"/>
      <c r="B18" s="1"/>
      <c r="C18" s="1"/>
      <c r="D18" s="15"/>
      <c r="E18" s="18"/>
      <c r="F18" s="9"/>
      <c r="G18" s="9"/>
      <c r="H18" s="9"/>
      <c r="I18" s="9"/>
      <c r="J18" s="9"/>
      <c r="K18" s="10"/>
      <c r="L18" s="10"/>
      <c r="M18" s="18"/>
      <c r="N18" s="9"/>
      <c r="O18" s="9"/>
      <c r="P18" s="9"/>
      <c r="Q18" s="17"/>
      <c r="S18" s="1"/>
      <c r="T18" s="1"/>
    </row>
    <row r="19" spans="1:23" ht="42" customHeight="1">
      <c r="A19" s="1"/>
      <c r="B19" s="1"/>
      <c r="C19" s="1"/>
      <c r="D19" s="15"/>
      <c r="E19" s="37" t="s">
        <v>10</v>
      </c>
      <c r="F19" s="106"/>
      <c r="G19" s="107"/>
      <c r="H19" s="9"/>
      <c r="I19" s="16"/>
      <c r="J19" s="9"/>
      <c r="K19" s="16"/>
      <c r="L19" s="108" t="s">
        <v>11</v>
      </c>
      <c r="M19" s="108"/>
      <c r="N19" s="109" t="s">
        <v>12</v>
      </c>
      <c r="O19" s="110"/>
      <c r="P19" s="107"/>
      <c r="Q19" s="17"/>
      <c r="S19" s="1"/>
      <c r="T19" s="1"/>
    </row>
    <row r="20" spans="1:23">
      <c r="A20" s="1"/>
      <c r="B20" s="1"/>
      <c r="C20" s="1"/>
      <c r="D20" s="20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2"/>
      <c r="S20" s="1"/>
      <c r="T20" s="1"/>
    </row>
    <row r="21" spans="1:23" ht="40.5" customHeight="1">
      <c r="A21" s="1"/>
      <c r="B21" s="1"/>
      <c r="C21" s="1"/>
      <c r="D21" s="111" t="s">
        <v>13</v>
      </c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3"/>
      <c r="R21" s="2"/>
      <c r="T21" s="1"/>
    </row>
    <row r="22" spans="1:23" ht="54" customHeight="1">
      <c r="A22" s="1"/>
      <c r="B22" s="1"/>
      <c r="C22" s="3"/>
      <c r="D22" s="23" t="s">
        <v>14</v>
      </c>
      <c r="E22" s="23" t="s">
        <v>15</v>
      </c>
      <c r="F22" s="23" t="s">
        <v>16</v>
      </c>
      <c r="G22" s="23" t="s">
        <v>17</v>
      </c>
      <c r="H22" s="23" t="s">
        <v>18</v>
      </c>
      <c r="I22" s="23" t="s">
        <v>19</v>
      </c>
      <c r="J22" s="23" t="s">
        <v>20</v>
      </c>
      <c r="K22" s="23" t="s">
        <v>21</v>
      </c>
      <c r="L22" s="23" t="s">
        <v>22</v>
      </c>
      <c r="M22" s="23" t="s">
        <v>23</v>
      </c>
      <c r="N22" s="23" t="s">
        <v>24</v>
      </c>
      <c r="O22" s="23" t="s">
        <v>25</v>
      </c>
      <c r="P22" s="24" t="s">
        <v>26</v>
      </c>
      <c r="Q22" s="24" t="s">
        <v>27</v>
      </c>
      <c r="R22" s="3"/>
      <c r="S22" s="1"/>
      <c r="T22" s="1"/>
    </row>
    <row r="23" spans="1:23" s="6" customFormat="1" ht="23.25" customHeight="1">
      <c r="A23" s="4"/>
      <c r="B23" s="4"/>
      <c r="C23" s="4"/>
      <c r="D23" s="78" t="s">
        <v>28</v>
      </c>
      <c r="E23" s="87"/>
      <c r="F23" s="87"/>
      <c r="G23" s="88"/>
      <c r="H23" s="99"/>
      <c r="I23" s="89"/>
      <c r="J23" s="89"/>
      <c r="K23" s="87"/>
      <c r="L23" s="90"/>
      <c r="M23" s="100"/>
      <c r="N23" s="91"/>
      <c r="O23" s="91"/>
      <c r="P23" s="92"/>
      <c r="Q23" s="93"/>
      <c r="R23" s="5"/>
      <c r="S23" s="4"/>
      <c r="T23" s="1"/>
    </row>
    <row r="24" spans="1:23" s="6" customFormat="1" ht="24.75" customHeight="1">
      <c r="A24" s="4"/>
      <c r="B24" s="4"/>
      <c r="C24" s="4"/>
      <c r="D24" s="78"/>
      <c r="E24" s="87"/>
      <c r="F24" s="88"/>
      <c r="G24" s="88"/>
      <c r="H24" s="94"/>
      <c r="I24" s="89"/>
      <c r="J24" s="89"/>
      <c r="K24" s="87"/>
      <c r="L24" s="94"/>
      <c r="M24" s="95"/>
      <c r="N24" s="96"/>
      <c r="O24" s="96"/>
      <c r="P24" s="97"/>
      <c r="Q24" s="93"/>
      <c r="R24" s="5"/>
      <c r="S24" s="4"/>
      <c r="T24" s="4"/>
    </row>
    <row r="25" spans="1:23" s="6" customFormat="1" ht="22.5" customHeight="1">
      <c r="A25" s="4"/>
      <c r="B25" s="4"/>
      <c r="C25" s="4"/>
      <c r="D25" s="78"/>
      <c r="E25" s="79"/>
      <c r="F25" s="79"/>
      <c r="G25" s="79"/>
      <c r="H25" s="79"/>
      <c r="I25" s="80"/>
      <c r="J25" s="80"/>
      <c r="K25" s="81"/>
      <c r="L25" s="82"/>
      <c r="M25" s="83"/>
      <c r="N25" s="84"/>
      <c r="O25" s="84"/>
      <c r="P25" s="85"/>
      <c r="Q25" s="86"/>
      <c r="R25" s="5"/>
      <c r="S25" s="4"/>
      <c r="T25" s="4"/>
    </row>
    <row r="26" spans="1:23" s="6" customFormat="1" ht="22.5" customHeight="1">
      <c r="A26" s="4"/>
      <c r="B26" s="4"/>
      <c r="C26" s="4"/>
      <c r="D26" s="78"/>
      <c r="E26" s="25"/>
      <c r="F26" s="25"/>
      <c r="G26" s="25"/>
      <c r="H26" s="25"/>
      <c r="I26" s="26"/>
      <c r="J26" s="26"/>
      <c r="K26" s="25"/>
      <c r="L26" s="25"/>
      <c r="M26" s="25"/>
      <c r="N26" s="27"/>
      <c r="O26" s="27"/>
      <c r="P26" s="28"/>
      <c r="Q26" s="29"/>
      <c r="R26" s="5"/>
      <c r="S26" s="4"/>
      <c r="T26" s="4"/>
    </row>
    <row r="27" spans="1:23" s="6" customFormat="1" ht="24" customHeight="1">
      <c r="A27" s="4"/>
      <c r="B27" s="4"/>
      <c r="C27" s="4"/>
      <c r="D27" s="78"/>
      <c r="E27" s="25"/>
      <c r="F27" s="25"/>
      <c r="G27" s="25"/>
      <c r="H27" s="25"/>
      <c r="I27" s="26"/>
      <c r="J27" s="26"/>
      <c r="K27" s="25"/>
      <c r="L27" s="25"/>
      <c r="M27" s="25"/>
      <c r="N27" s="27"/>
      <c r="O27" s="27"/>
      <c r="P27" s="28"/>
      <c r="Q27" s="29"/>
      <c r="R27" s="5"/>
      <c r="S27" s="4"/>
      <c r="T27" s="4"/>
    </row>
    <row r="28" spans="1:23" s="6" customFormat="1" ht="24.75" customHeight="1">
      <c r="A28" s="4"/>
      <c r="B28" s="4"/>
      <c r="C28" s="4"/>
      <c r="D28" s="78"/>
      <c r="E28" s="25"/>
      <c r="F28" s="25"/>
      <c r="G28" s="25"/>
      <c r="H28" s="25"/>
      <c r="I28" s="26"/>
      <c r="J28" s="26"/>
      <c r="K28" s="25"/>
      <c r="L28" s="25"/>
      <c r="M28" s="25"/>
      <c r="N28" s="27"/>
      <c r="O28" s="27"/>
      <c r="P28" s="28"/>
      <c r="Q28" s="29"/>
      <c r="R28" s="5"/>
      <c r="S28" s="4"/>
      <c r="T28" s="4"/>
    </row>
    <row r="29" spans="1:23" s="6" customFormat="1" ht="21.75" customHeight="1">
      <c r="A29" s="4"/>
      <c r="B29" s="4"/>
      <c r="C29" s="4"/>
      <c r="D29" s="78"/>
      <c r="E29" s="25"/>
      <c r="F29" s="25"/>
      <c r="G29" s="25"/>
      <c r="H29" s="25"/>
      <c r="I29" s="26"/>
      <c r="J29" s="26"/>
      <c r="K29" s="25"/>
      <c r="L29" s="25"/>
      <c r="M29" s="25"/>
      <c r="N29" s="27"/>
      <c r="O29" s="27"/>
      <c r="P29" s="28"/>
      <c r="Q29" s="29"/>
      <c r="R29" s="5"/>
      <c r="S29" s="4"/>
      <c r="T29" s="4"/>
    </row>
    <row r="30" spans="1:23" s="6" customFormat="1" ht="24" customHeight="1">
      <c r="A30" s="4"/>
      <c r="B30" s="4"/>
      <c r="C30" s="4"/>
      <c r="D30" s="78"/>
      <c r="E30" s="25"/>
      <c r="F30" s="25"/>
      <c r="G30" s="25"/>
      <c r="H30" s="25"/>
      <c r="I30" s="26"/>
      <c r="J30" s="26"/>
      <c r="K30" s="25"/>
      <c r="L30" s="25"/>
      <c r="M30" s="25"/>
      <c r="N30" s="27"/>
      <c r="O30" s="27"/>
      <c r="P30" s="28"/>
      <c r="Q30" s="29"/>
      <c r="R30" s="5"/>
      <c r="S30" s="4"/>
      <c r="T30" s="4"/>
    </row>
    <row r="31" spans="1:23" ht="18.75">
      <c r="A31" s="1"/>
      <c r="B31" s="1"/>
      <c r="C31" s="1"/>
      <c r="D31" s="30"/>
      <c r="E31" s="13"/>
      <c r="F31" s="13"/>
      <c r="G31" s="13"/>
      <c r="H31" s="13"/>
      <c r="I31" s="13"/>
      <c r="J31" s="13"/>
      <c r="K31" s="31"/>
      <c r="L31" s="13"/>
      <c r="M31" s="13"/>
      <c r="N31" s="13"/>
      <c r="O31" s="13"/>
      <c r="P31" s="13"/>
      <c r="Q31" s="14"/>
      <c r="S31" s="1"/>
      <c r="T31" s="4"/>
    </row>
    <row r="32" spans="1:23" ht="45" customHeight="1">
      <c r="A32" s="1"/>
      <c r="B32" s="1"/>
      <c r="C32" s="1"/>
      <c r="D32" s="15"/>
      <c r="E32" s="9"/>
      <c r="F32" s="9"/>
      <c r="G32" s="9"/>
      <c r="H32" s="114" t="s">
        <v>29</v>
      </c>
      <c r="I32" s="115"/>
      <c r="J32" s="116">
        <f>SUM(Q23:Q30)</f>
        <v>0</v>
      </c>
      <c r="K32" s="117"/>
      <c r="L32" s="9"/>
      <c r="M32" s="9"/>
      <c r="N32" s="9"/>
      <c r="O32" s="9"/>
      <c r="P32" s="9"/>
      <c r="Q32" s="17"/>
      <c r="S32" s="1"/>
      <c r="T32" s="1"/>
    </row>
    <row r="33" spans="1:20" ht="21" customHeight="1">
      <c r="A33" s="1"/>
      <c r="B33" s="1"/>
      <c r="C33" s="1"/>
      <c r="D33" s="15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7"/>
      <c r="S33" s="1"/>
      <c r="T33" s="1"/>
    </row>
    <row r="34" spans="1:20" ht="40.5" customHeight="1">
      <c r="A34" s="1"/>
      <c r="B34" s="1"/>
      <c r="C34" s="1"/>
      <c r="D34" s="15"/>
      <c r="E34" s="9"/>
      <c r="F34" s="9"/>
      <c r="G34" s="9"/>
      <c r="H34" s="114" t="s">
        <v>30</v>
      </c>
      <c r="I34" s="115"/>
      <c r="J34" s="140">
        <f>COUNTIF($D$23:$D$30,"*")</f>
        <v>1</v>
      </c>
      <c r="K34" s="140"/>
      <c r="L34" s="9"/>
      <c r="M34" s="16"/>
      <c r="N34" s="9"/>
      <c r="O34" s="9"/>
      <c r="P34" s="9"/>
      <c r="Q34" s="17"/>
      <c r="S34" s="1"/>
      <c r="T34" s="1"/>
    </row>
    <row r="35" spans="1:20" ht="11.25" customHeight="1">
      <c r="A35" s="1"/>
      <c r="B35" s="1"/>
      <c r="C35" s="1"/>
      <c r="D35" s="15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7"/>
      <c r="S35" s="1"/>
      <c r="T35" s="1"/>
    </row>
    <row r="36" spans="1:20" ht="24.75" hidden="1" customHeight="1">
      <c r="A36" s="1"/>
      <c r="B36" s="1"/>
      <c r="C36" s="1"/>
      <c r="D36" s="15"/>
      <c r="E36" s="9"/>
      <c r="F36" s="9"/>
      <c r="G36" s="9"/>
      <c r="H36" s="132"/>
      <c r="I36" s="132"/>
      <c r="J36" s="9"/>
      <c r="K36" s="9"/>
      <c r="L36" s="9"/>
      <c r="M36" s="9"/>
      <c r="N36" s="9"/>
      <c r="O36" s="9"/>
      <c r="P36" s="9"/>
      <c r="Q36" s="17"/>
      <c r="S36" s="1"/>
      <c r="T36" s="1"/>
    </row>
    <row r="37" spans="1:20" hidden="1">
      <c r="A37" s="1"/>
      <c r="B37" s="1"/>
      <c r="C37" s="1"/>
      <c r="D37" s="15"/>
      <c r="E37" s="9"/>
      <c r="F37" s="9"/>
      <c r="G37" s="9"/>
      <c r="H37" s="9"/>
      <c r="I37" s="9"/>
      <c r="J37" s="9"/>
      <c r="K37" s="16"/>
      <c r="L37" s="9"/>
      <c r="M37" s="9"/>
      <c r="N37" s="9"/>
      <c r="O37" s="9"/>
      <c r="P37" s="9"/>
      <c r="Q37" s="17"/>
      <c r="S37" s="1"/>
      <c r="T37" s="1"/>
    </row>
    <row r="38" spans="1:20" ht="26.25" customHeight="1">
      <c r="A38" s="1"/>
      <c r="B38" s="1"/>
      <c r="C38" s="1"/>
      <c r="D38" s="111" t="s">
        <v>31</v>
      </c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3"/>
      <c r="R38" s="2"/>
      <c r="S38" s="1"/>
      <c r="T38" s="1"/>
    </row>
    <row r="39" spans="1:20" ht="14.45" customHeight="1">
      <c r="A39" s="1"/>
      <c r="B39" s="1"/>
      <c r="C39" s="1"/>
      <c r="D39" s="118"/>
      <c r="E39" s="119"/>
      <c r="F39" s="119"/>
      <c r="G39" s="119"/>
      <c r="H39" s="119"/>
      <c r="I39" s="119"/>
      <c r="J39" s="118" t="e">
        <f>VLOOKUP(F23,Hoja2!G2:H126,2,FALSE)</f>
        <v>#N/A</v>
      </c>
      <c r="K39" s="119"/>
      <c r="L39" s="119"/>
      <c r="M39" s="119"/>
      <c r="N39" s="119"/>
      <c r="O39" s="119"/>
      <c r="P39" s="119"/>
      <c r="Q39" s="124"/>
      <c r="R39" s="2"/>
      <c r="S39" s="1"/>
      <c r="T39" s="1"/>
    </row>
    <row r="40" spans="1:20">
      <c r="A40" s="1"/>
      <c r="B40" s="1"/>
      <c r="C40" s="1"/>
      <c r="D40" s="120"/>
      <c r="E40" s="121"/>
      <c r="F40" s="121"/>
      <c r="G40" s="121"/>
      <c r="H40" s="121"/>
      <c r="I40" s="121"/>
      <c r="J40" s="120"/>
      <c r="K40" s="121"/>
      <c r="L40" s="121"/>
      <c r="M40" s="121"/>
      <c r="N40" s="121"/>
      <c r="O40" s="121"/>
      <c r="P40" s="121"/>
      <c r="Q40" s="125"/>
      <c r="R40" s="2"/>
      <c r="S40" s="1"/>
      <c r="T40" s="1"/>
    </row>
    <row r="41" spans="1:20">
      <c r="A41" s="1"/>
      <c r="B41" s="1"/>
      <c r="C41" s="1"/>
      <c r="D41" s="120"/>
      <c r="E41" s="121"/>
      <c r="F41" s="121"/>
      <c r="G41" s="121"/>
      <c r="H41" s="121"/>
      <c r="I41" s="121"/>
      <c r="J41" s="120"/>
      <c r="K41" s="121"/>
      <c r="L41" s="121"/>
      <c r="M41" s="121"/>
      <c r="N41" s="121"/>
      <c r="O41" s="121"/>
      <c r="P41" s="121"/>
      <c r="Q41" s="125"/>
      <c r="R41" s="2"/>
      <c r="S41" s="1"/>
      <c r="T41" s="1"/>
    </row>
    <row r="42" spans="1:20" ht="21" customHeight="1">
      <c r="A42" s="1"/>
      <c r="B42" s="1"/>
      <c r="C42" s="1"/>
      <c r="D42" s="120"/>
      <c r="E42" s="121"/>
      <c r="F42" s="121"/>
      <c r="G42" s="121"/>
      <c r="H42" s="121"/>
      <c r="I42" s="121"/>
      <c r="J42" s="120"/>
      <c r="K42" s="121"/>
      <c r="L42" s="121"/>
      <c r="M42" s="121"/>
      <c r="N42" s="121"/>
      <c r="O42" s="121"/>
      <c r="P42" s="121"/>
      <c r="Q42" s="125"/>
      <c r="R42" s="2"/>
      <c r="S42" s="1"/>
      <c r="T42" s="1"/>
    </row>
    <row r="43" spans="1:20">
      <c r="A43" s="1"/>
      <c r="B43" s="1"/>
      <c r="C43" s="1"/>
      <c r="D43" s="120"/>
      <c r="E43" s="121"/>
      <c r="F43" s="121"/>
      <c r="G43" s="121"/>
      <c r="H43" s="121"/>
      <c r="I43" s="121"/>
      <c r="J43" s="120"/>
      <c r="K43" s="121"/>
      <c r="L43" s="121"/>
      <c r="M43" s="121"/>
      <c r="N43" s="121"/>
      <c r="O43" s="121"/>
      <c r="P43" s="121"/>
      <c r="Q43" s="125"/>
      <c r="R43" s="2"/>
      <c r="S43" s="1"/>
      <c r="T43" s="1"/>
    </row>
    <row r="44" spans="1:20" ht="30.6" customHeight="1">
      <c r="A44" s="1"/>
      <c r="B44" s="1"/>
      <c r="C44" s="1"/>
      <c r="D44" s="120"/>
      <c r="E44" s="121"/>
      <c r="F44" s="121"/>
      <c r="G44" s="121"/>
      <c r="H44" s="121"/>
      <c r="I44" s="121"/>
      <c r="J44" s="120"/>
      <c r="K44" s="121"/>
      <c r="L44" s="121"/>
      <c r="M44" s="121"/>
      <c r="N44" s="121"/>
      <c r="O44" s="121"/>
      <c r="P44" s="121"/>
      <c r="Q44" s="125"/>
      <c r="R44" s="2"/>
      <c r="S44" s="1"/>
      <c r="T44" s="1"/>
    </row>
    <row r="45" spans="1:20" ht="20.45" customHeight="1">
      <c r="A45" s="1"/>
      <c r="B45" s="1"/>
      <c r="C45" s="1"/>
      <c r="D45" s="120"/>
      <c r="E45" s="121"/>
      <c r="F45" s="121"/>
      <c r="G45" s="121"/>
      <c r="H45" s="121"/>
      <c r="I45" s="121"/>
      <c r="J45" s="120"/>
      <c r="K45" s="121"/>
      <c r="L45" s="121"/>
      <c r="M45" s="121"/>
      <c r="N45" s="121"/>
      <c r="O45" s="121"/>
      <c r="P45" s="121"/>
      <c r="Q45" s="125"/>
      <c r="R45" s="2"/>
      <c r="S45" s="1"/>
      <c r="T45" s="1"/>
    </row>
    <row r="46" spans="1:20">
      <c r="A46" s="1"/>
      <c r="B46" s="1"/>
      <c r="C46" s="1"/>
      <c r="D46" s="120"/>
      <c r="E46" s="121"/>
      <c r="F46" s="121"/>
      <c r="G46" s="121"/>
      <c r="H46" s="121"/>
      <c r="I46" s="121"/>
      <c r="J46" s="120"/>
      <c r="K46" s="121"/>
      <c r="L46" s="121"/>
      <c r="M46" s="121"/>
      <c r="N46" s="121"/>
      <c r="O46" s="121"/>
      <c r="P46" s="121"/>
      <c r="Q46" s="125"/>
      <c r="R46" s="2"/>
      <c r="S46" s="1"/>
      <c r="T46" s="1"/>
    </row>
    <row r="47" spans="1:20" ht="33.6" customHeight="1">
      <c r="A47" s="1"/>
      <c r="B47" s="1"/>
      <c r="C47" s="1"/>
      <c r="D47" s="122"/>
      <c r="E47" s="123"/>
      <c r="F47" s="123"/>
      <c r="G47" s="123"/>
      <c r="H47" s="123"/>
      <c r="I47" s="123"/>
      <c r="J47" s="122"/>
      <c r="K47" s="123"/>
      <c r="L47" s="123"/>
      <c r="M47" s="123"/>
      <c r="N47" s="123"/>
      <c r="O47" s="123"/>
      <c r="P47" s="123"/>
      <c r="Q47" s="126"/>
      <c r="R47" s="2"/>
      <c r="S47" s="1"/>
      <c r="T47" s="1"/>
    </row>
    <row r="48" spans="1:20" ht="12" customHeight="1">
      <c r="A48" s="1"/>
      <c r="B48" s="1"/>
      <c r="C48" s="1"/>
      <c r="D48" s="30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4"/>
      <c r="S48" s="1"/>
      <c r="T48" s="1"/>
    </row>
    <row r="49" spans="1:20" ht="10.5" customHeight="1">
      <c r="A49" s="1"/>
      <c r="B49" s="1"/>
      <c r="C49" s="1"/>
      <c r="D49" s="15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17"/>
      <c r="S49" s="1"/>
      <c r="T49" s="1"/>
    </row>
    <row r="50" spans="1:20" ht="12.75" customHeight="1">
      <c r="A50" s="1"/>
      <c r="B50" s="1"/>
      <c r="C50" s="1"/>
      <c r="D50" s="15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17"/>
      <c r="S50" s="1"/>
      <c r="T50" s="1"/>
    </row>
    <row r="51" spans="1:20" hidden="1">
      <c r="A51" s="1"/>
      <c r="B51" s="1"/>
      <c r="C51" s="1"/>
      <c r="D51" s="15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17"/>
      <c r="S51" s="1"/>
      <c r="T51" s="1"/>
    </row>
    <row r="52" spans="1:20" ht="83.25" customHeight="1">
      <c r="A52" s="1"/>
      <c r="B52" s="1"/>
      <c r="C52" s="1"/>
      <c r="D52" s="15"/>
      <c r="E52" s="32" t="s">
        <v>32</v>
      </c>
      <c r="F52" s="109"/>
      <c r="G52" s="107"/>
      <c r="H52" s="9"/>
      <c r="I52" s="9"/>
      <c r="J52" s="9"/>
      <c r="K52" s="9"/>
      <c r="L52" s="32" t="s">
        <v>33</v>
      </c>
      <c r="M52" s="138"/>
      <c r="N52" s="138"/>
      <c r="O52" s="101"/>
      <c r="P52" s="9"/>
      <c r="Q52" s="17"/>
      <c r="S52" s="1"/>
      <c r="T52" s="1"/>
    </row>
    <row r="53" spans="1:20">
      <c r="A53" s="1"/>
      <c r="B53" s="1"/>
      <c r="C53" s="1"/>
      <c r="D53" s="15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7"/>
      <c r="S53" s="1"/>
      <c r="T53" s="1"/>
    </row>
    <row r="54" spans="1:20">
      <c r="A54" s="1"/>
      <c r="B54" s="1"/>
      <c r="C54" s="1"/>
      <c r="D54" s="15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17"/>
      <c r="S54" s="1"/>
      <c r="T54" s="1"/>
    </row>
    <row r="55" spans="1:20">
      <c r="A55" s="1"/>
      <c r="B55" s="1"/>
      <c r="C55" s="1"/>
      <c r="D55" s="15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17"/>
      <c r="S55" s="1"/>
      <c r="T55" s="1"/>
    </row>
    <row r="56" spans="1:20" ht="62.25" customHeight="1">
      <c r="A56" s="1"/>
      <c r="B56" s="1"/>
      <c r="C56" s="1"/>
      <c r="D56" s="15"/>
      <c r="E56" s="127"/>
      <c r="F56" s="127"/>
      <c r="G56" s="127"/>
      <c r="H56" s="9"/>
      <c r="I56" s="9"/>
      <c r="J56" s="9"/>
      <c r="K56" s="9"/>
      <c r="L56" s="21"/>
      <c r="M56" s="21"/>
      <c r="N56" s="21"/>
      <c r="O56" s="21"/>
      <c r="P56" s="21"/>
      <c r="Q56" s="17"/>
      <c r="S56" s="1"/>
      <c r="T56" s="1"/>
    </row>
    <row r="57" spans="1:20" ht="39" customHeight="1">
      <c r="A57" s="1"/>
      <c r="B57" s="1"/>
      <c r="C57" s="1"/>
      <c r="D57" s="15"/>
      <c r="E57" s="9" t="s">
        <v>34</v>
      </c>
      <c r="F57" s="9"/>
      <c r="G57" s="9"/>
      <c r="H57" s="9"/>
      <c r="I57" s="9"/>
      <c r="J57" s="9"/>
      <c r="K57" s="9"/>
      <c r="L57" s="9" t="s">
        <v>35</v>
      </c>
      <c r="M57" s="9"/>
      <c r="N57" s="9"/>
      <c r="O57" s="9"/>
      <c r="P57" s="9"/>
      <c r="Q57" s="17"/>
      <c r="S57" s="1"/>
      <c r="T57" s="1"/>
    </row>
    <row r="58" spans="1:20">
      <c r="A58" s="1"/>
      <c r="B58" s="1"/>
      <c r="C58" s="1"/>
      <c r="D58" s="15"/>
      <c r="E58" s="16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17"/>
      <c r="S58" s="1"/>
      <c r="T58" s="1"/>
    </row>
    <row r="59" spans="1:20">
      <c r="A59" s="1"/>
      <c r="B59" s="1"/>
      <c r="C59" s="1"/>
      <c r="D59" s="15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17"/>
      <c r="S59" s="1"/>
      <c r="T59" s="1"/>
    </row>
    <row r="60" spans="1:20" ht="4.5" customHeight="1">
      <c r="A60" s="1"/>
      <c r="B60" s="1"/>
      <c r="C60" s="1"/>
      <c r="D60" s="15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17"/>
      <c r="S60" s="1"/>
      <c r="T60" s="1"/>
    </row>
    <row r="61" spans="1:20" ht="78" customHeight="1">
      <c r="A61" s="1"/>
      <c r="B61" s="1"/>
      <c r="C61" s="1"/>
      <c r="D61" s="15"/>
      <c r="E61" s="32" t="s">
        <v>36</v>
      </c>
      <c r="F61" s="138"/>
      <c r="G61" s="139"/>
      <c r="H61" s="33"/>
      <c r="I61" s="19"/>
      <c r="J61" s="33"/>
      <c r="K61" s="33"/>
      <c r="L61" s="19"/>
      <c r="M61" s="114"/>
      <c r="N61" s="114"/>
      <c r="O61" s="98"/>
      <c r="P61" s="9"/>
      <c r="Q61" s="17"/>
      <c r="S61" s="1"/>
      <c r="T61" s="1"/>
    </row>
    <row r="62" spans="1:20">
      <c r="A62" s="1"/>
      <c r="B62" s="1"/>
      <c r="C62" s="1"/>
      <c r="D62" s="15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17"/>
      <c r="S62" s="1"/>
      <c r="T62" s="1"/>
    </row>
    <row r="63" spans="1:20">
      <c r="A63" s="1"/>
      <c r="B63" s="1"/>
      <c r="C63" s="1"/>
      <c r="D63" s="15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7"/>
      <c r="S63" s="1"/>
      <c r="T63" s="1"/>
    </row>
    <row r="64" spans="1:20">
      <c r="A64" s="1"/>
      <c r="B64" s="1"/>
      <c r="C64" s="1"/>
      <c r="D64" s="15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17"/>
      <c r="S64" s="1"/>
      <c r="T64" s="1"/>
    </row>
    <row r="65" spans="1:23" ht="71.25" customHeight="1">
      <c r="A65" s="1"/>
      <c r="B65" s="1"/>
      <c r="C65" s="1"/>
      <c r="D65" s="15"/>
      <c r="E65" s="21"/>
      <c r="F65" s="21"/>
      <c r="G65" s="21"/>
      <c r="H65" s="9"/>
      <c r="I65" s="9"/>
      <c r="J65" s="9"/>
      <c r="K65" s="9"/>
      <c r="L65" s="9"/>
      <c r="M65" s="9"/>
      <c r="N65" s="9"/>
      <c r="O65" s="9"/>
      <c r="P65" s="9"/>
      <c r="Q65" s="17"/>
      <c r="S65" s="1"/>
      <c r="T65" s="1"/>
    </row>
    <row r="66" spans="1:23">
      <c r="A66" s="1"/>
      <c r="B66" s="1"/>
      <c r="C66" s="1"/>
      <c r="D66" s="15"/>
      <c r="E66" s="9" t="s">
        <v>34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34"/>
      <c r="T66" s="1"/>
    </row>
    <row r="67" spans="1:23" ht="3" customHeight="1">
      <c r="A67" s="1"/>
      <c r="B67" s="1"/>
      <c r="C67" s="1"/>
      <c r="D67" s="15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35"/>
      <c r="S67" s="1"/>
      <c r="T67" s="1"/>
    </row>
    <row r="68" spans="1:23">
      <c r="A68" s="1"/>
      <c r="B68" s="1"/>
      <c r="C68" s="1"/>
      <c r="D68" s="20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2"/>
      <c r="S68" s="1"/>
      <c r="T68" s="1"/>
      <c r="W68" s="77" t="s">
        <v>37</v>
      </c>
    </row>
    <row r="69" spans="1:23" ht="20.25" customHeight="1">
      <c r="A69" s="1"/>
      <c r="B69" s="1"/>
      <c r="C69" s="1"/>
      <c r="D69" s="137" t="s">
        <v>38</v>
      </c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7"/>
      <c r="S69" s="8"/>
      <c r="T69" s="1"/>
    </row>
    <row r="70" spans="1:23" ht="15" customHeight="1">
      <c r="A70" s="1"/>
      <c r="B70" s="1"/>
      <c r="C70" s="1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7"/>
      <c r="S70" s="8"/>
      <c r="T70" s="1"/>
    </row>
    <row r="71" spans="1:23" ht="15" customHeight="1">
      <c r="A71" s="1"/>
      <c r="B71" s="1"/>
      <c r="C71" s="1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7"/>
      <c r="S71" s="8"/>
      <c r="T71" s="1"/>
    </row>
    <row r="72" spans="1:23" ht="15" customHeight="1">
      <c r="A72" s="1"/>
      <c r="B72" s="1"/>
      <c r="C72" s="1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7"/>
      <c r="S72" s="8"/>
      <c r="T72" s="1"/>
    </row>
    <row r="73" spans="1:23" ht="6.75" customHeight="1">
      <c r="A73" s="1"/>
      <c r="B73" s="1"/>
      <c r="C73" s="1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7"/>
      <c r="S73" s="8"/>
      <c r="T73" s="1"/>
    </row>
    <row r="74" spans="1:23" ht="10.5" customHeight="1">
      <c r="A74" s="1"/>
      <c r="B74" s="1"/>
      <c r="C74" s="1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7"/>
      <c r="S74" s="8"/>
      <c r="T74" s="1"/>
    </row>
    <row r="75" spans="1:23" ht="12" customHeight="1">
      <c r="A75" s="1"/>
      <c r="B75" s="1"/>
      <c r="C75" s="1"/>
      <c r="D75" s="104" t="s">
        <v>39</v>
      </c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S75" s="1"/>
      <c r="T75" s="1"/>
    </row>
    <row r="76" spans="1:23" ht="12" customHeight="1">
      <c r="A76" s="1"/>
      <c r="B76" s="1"/>
      <c r="C76" s="1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S76" s="1"/>
      <c r="T76" s="1"/>
    </row>
    <row r="77" spans="1:23" ht="14.25" customHeight="1">
      <c r="A77" s="1"/>
      <c r="B77" s="1"/>
      <c r="C77" s="1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S77" s="1"/>
      <c r="T77" s="1"/>
    </row>
    <row r="78" spans="1:23" ht="12" customHeight="1">
      <c r="A78" s="1"/>
      <c r="B78" s="1"/>
      <c r="C78" s="1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S78" s="1"/>
      <c r="T78" s="1"/>
    </row>
    <row r="79" spans="1:23">
      <c r="A79" s="1"/>
      <c r="B79" s="1"/>
      <c r="C79" s="1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S79" s="1"/>
      <c r="T79" s="1"/>
    </row>
    <row r="80" spans="1:23">
      <c r="A80" s="1"/>
      <c r="B80" s="1"/>
      <c r="C80" s="1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39"/>
      <c r="S80" s="1"/>
      <c r="T80" s="1"/>
    </row>
    <row r="81" spans="1:20">
      <c r="A81" s="1"/>
      <c r="B81" s="1"/>
      <c r="C81" s="1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39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P82" s="1"/>
      <c r="Q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P83" s="1"/>
      <c r="Q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P84" s="1"/>
      <c r="Q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P85" s="1"/>
      <c r="Q85" s="1"/>
      <c r="S85" s="1"/>
      <c r="T85" s="1"/>
    </row>
  </sheetData>
  <mergeCells count="28">
    <mergeCell ref="D1:Q6"/>
    <mergeCell ref="D69:Q74"/>
    <mergeCell ref="H34:I34"/>
    <mergeCell ref="H36:I36"/>
    <mergeCell ref="D38:Q38"/>
    <mergeCell ref="M52:N52"/>
    <mergeCell ref="F61:G61"/>
    <mergeCell ref="M61:N61"/>
    <mergeCell ref="J34:K34"/>
    <mergeCell ref="F17:G17"/>
    <mergeCell ref="D7:Q7"/>
    <mergeCell ref="L9:M9"/>
    <mergeCell ref="F11:G11"/>
    <mergeCell ref="F13:G13"/>
    <mergeCell ref="F15:G15"/>
    <mergeCell ref="F52:G52"/>
    <mergeCell ref="F9:G9"/>
    <mergeCell ref="N9:P9"/>
    <mergeCell ref="D75:Q79"/>
    <mergeCell ref="F19:G19"/>
    <mergeCell ref="L19:M19"/>
    <mergeCell ref="N19:P19"/>
    <mergeCell ref="D21:Q21"/>
    <mergeCell ref="H32:I32"/>
    <mergeCell ref="J32:K32"/>
    <mergeCell ref="D39:I47"/>
    <mergeCell ref="J39:Q47"/>
    <mergeCell ref="E56:G56"/>
  </mergeCells>
  <phoneticPr fontId="18" type="noConversion"/>
  <dataValidations count="3">
    <dataValidation type="list" allowBlank="1" showInputMessage="1" showErrorMessage="1" sqref="F9" xr:uid="{6A917F6E-5B71-4D67-9FD8-CD57A3E4F3F0}">
      <formula1>"1/15,16/30"</formula1>
    </dataValidation>
    <dataValidation type="list" allowBlank="1" showInputMessage="1" showErrorMessage="1" sqref="P23:P25" xr:uid="{09AA8E45-DB02-4999-8326-2FA4AC8159E9}">
      <formula1>"OFICIAL,AEREO,PUBLICO"</formula1>
    </dataValidation>
    <dataValidation type="list" allowBlank="1" showInputMessage="1" showErrorMessage="1" sqref="K25" xr:uid="{A008A4C8-B38B-45C7-B78E-D82D7B6BBFC0}">
      <formula1>"SI,NO"</formula1>
    </dataValidation>
  </dataValidations>
  <pageMargins left="0.70866141732283472" right="0.39370078740157483" top="0.74803149606299213" bottom="0.74803149606299213" header="0.31496062992125984" footer="0.31496062992125984"/>
  <pageSetup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8B3B-3176-428B-BF5B-13EF46A189B1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E565-685E-482D-A73F-F5169415742F}">
  <dimension ref="A1:U126"/>
  <sheetViews>
    <sheetView topLeftCell="P1" workbookViewId="0">
      <selection activeCell="Q1" sqref="Q1:Q1048576"/>
    </sheetView>
  </sheetViews>
  <sheetFormatPr defaultColWidth="11.42578125" defaultRowHeight="15.75"/>
  <cols>
    <col min="1" max="3" width="11.42578125" style="49"/>
    <col min="4" max="4" width="23.7109375" style="49" customWidth="1"/>
    <col min="5" max="6" width="21" style="49" customWidth="1"/>
    <col min="7" max="7" width="11.42578125" style="49"/>
    <col min="8" max="8" width="20.140625" style="49" customWidth="1"/>
    <col min="9" max="9" width="18.28515625" style="75" hidden="1" customWidth="1"/>
    <col min="10" max="10" width="21" style="75" hidden="1" customWidth="1"/>
    <col min="11" max="11" width="18.28515625" style="75" hidden="1" customWidth="1"/>
    <col min="12" max="12" width="15.5703125" style="75" hidden="1" customWidth="1"/>
    <col min="13" max="13" width="0" style="53" hidden="1" customWidth="1"/>
    <col min="14" max="14" width="17.7109375" style="53" hidden="1" customWidth="1"/>
    <col min="15" max="15" width="16.85546875" style="53" hidden="1" customWidth="1"/>
    <col min="16" max="16" width="59" style="76" customWidth="1"/>
    <col min="17" max="17" width="40.140625" style="76" customWidth="1"/>
    <col min="18" max="18" width="42.5703125" style="76" customWidth="1"/>
    <col min="19" max="19" width="33" style="76" customWidth="1"/>
    <col min="20" max="16384" width="11.42578125" style="56"/>
  </cols>
  <sheetData>
    <row r="1" spans="1:21" s="49" customFormat="1" ht="47.25">
      <c r="A1" s="40" t="s">
        <v>40</v>
      </c>
      <c r="B1" s="40" t="s">
        <v>41</v>
      </c>
      <c r="C1" s="40" t="s">
        <v>42</v>
      </c>
      <c r="D1" s="40" t="s">
        <v>43</v>
      </c>
      <c r="E1" s="40" t="s">
        <v>44</v>
      </c>
      <c r="F1" s="40" t="s">
        <v>45</v>
      </c>
      <c r="G1" s="40" t="s">
        <v>46</v>
      </c>
      <c r="H1" s="41" t="s">
        <v>47</v>
      </c>
      <c r="I1" s="42" t="s">
        <v>48</v>
      </c>
      <c r="J1" s="43" t="s">
        <v>49</v>
      </c>
      <c r="K1" s="43" t="s">
        <v>21</v>
      </c>
      <c r="L1" s="43" t="s">
        <v>50</v>
      </c>
      <c r="M1" s="43" t="s">
        <v>51</v>
      </c>
      <c r="N1" s="43" t="s">
        <v>52</v>
      </c>
      <c r="O1" s="43" t="s">
        <v>53</v>
      </c>
      <c r="P1" s="44" t="s">
        <v>54</v>
      </c>
      <c r="Q1" s="44" t="s">
        <v>55</v>
      </c>
      <c r="R1" s="45" t="s">
        <v>56</v>
      </c>
      <c r="S1" s="46" t="s">
        <v>57</v>
      </c>
      <c r="T1" s="47"/>
      <c r="U1" s="48"/>
    </row>
    <row r="2" spans="1:21" ht="264" customHeight="1">
      <c r="A2" s="50">
        <v>5</v>
      </c>
      <c r="B2" s="50" t="s">
        <v>58</v>
      </c>
      <c r="C2" s="50" t="s">
        <v>59</v>
      </c>
      <c r="D2" s="50">
        <v>5656</v>
      </c>
      <c r="E2" s="50" t="s">
        <v>60</v>
      </c>
      <c r="F2" s="50" t="s">
        <v>61</v>
      </c>
      <c r="G2" s="50">
        <v>30.33</v>
      </c>
      <c r="H2" s="50" t="s">
        <v>62</v>
      </c>
      <c r="I2" s="51">
        <v>10000</v>
      </c>
      <c r="J2" s="51">
        <v>20000</v>
      </c>
      <c r="K2" s="51">
        <v>0</v>
      </c>
      <c r="L2" s="51">
        <v>10000</v>
      </c>
      <c r="M2" s="52">
        <f>+I2+J2+K2+L2</f>
        <v>40000</v>
      </c>
      <c r="N2" s="52">
        <v>50000</v>
      </c>
      <c r="P2" s="54" t="s">
        <v>63</v>
      </c>
      <c r="Q2" s="54" t="s">
        <v>64</v>
      </c>
      <c r="R2" s="54" t="s">
        <v>65</v>
      </c>
      <c r="S2" s="54" t="s">
        <v>66</v>
      </c>
      <c r="T2" s="55"/>
    </row>
    <row r="3" spans="1:21" ht="198">
      <c r="A3" s="50"/>
      <c r="B3" s="50"/>
      <c r="C3" s="50"/>
      <c r="D3" s="50"/>
      <c r="E3" s="50" t="s">
        <v>67</v>
      </c>
      <c r="F3" s="50" t="s">
        <v>68</v>
      </c>
      <c r="G3" s="50"/>
      <c r="H3" s="50" t="s">
        <v>69</v>
      </c>
      <c r="I3" s="51"/>
      <c r="J3" s="51"/>
      <c r="K3" s="51"/>
      <c r="L3" s="51"/>
      <c r="M3" s="52"/>
      <c r="N3" s="52"/>
      <c r="P3" s="54" t="s">
        <v>70</v>
      </c>
      <c r="Q3" s="54" t="s">
        <v>71</v>
      </c>
      <c r="R3" s="54" t="s">
        <v>72</v>
      </c>
      <c r="S3" s="54" t="s">
        <v>73</v>
      </c>
      <c r="T3" s="55"/>
    </row>
    <row r="4" spans="1:21" ht="243.75">
      <c r="A4" s="50">
        <v>5</v>
      </c>
      <c r="B4" s="50" t="s">
        <v>74</v>
      </c>
      <c r="C4" s="50" t="s">
        <v>75</v>
      </c>
      <c r="D4" s="50">
        <v>5088</v>
      </c>
      <c r="E4" s="50" t="s">
        <v>76</v>
      </c>
      <c r="F4" s="50" t="s">
        <v>68</v>
      </c>
      <c r="G4" s="50">
        <v>2</v>
      </c>
      <c r="H4" s="50" t="s">
        <v>69</v>
      </c>
      <c r="I4" s="51">
        <v>10000</v>
      </c>
      <c r="J4" s="51">
        <v>20000</v>
      </c>
      <c r="K4" s="51">
        <v>0</v>
      </c>
      <c r="L4" s="51">
        <v>10000</v>
      </c>
      <c r="M4" s="52">
        <f t="shared" ref="M4:M67" si="0">+I4+J4+K4+L4</f>
        <v>40000</v>
      </c>
      <c r="N4" s="52">
        <v>50000</v>
      </c>
      <c r="P4" s="54" t="s">
        <v>77</v>
      </c>
      <c r="Q4" s="54" t="s">
        <v>78</v>
      </c>
      <c r="R4" s="54" t="s">
        <v>79</v>
      </c>
      <c r="S4" s="54" t="s">
        <v>80</v>
      </c>
    </row>
    <row r="5" spans="1:21" ht="243.75">
      <c r="A5" s="50">
        <v>5</v>
      </c>
      <c r="B5" s="50" t="s">
        <v>74</v>
      </c>
      <c r="C5" s="50" t="s">
        <v>81</v>
      </c>
      <c r="D5" s="50">
        <v>5266</v>
      </c>
      <c r="E5" s="50" t="s">
        <v>82</v>
      </c>
      <c r="F5" s="50" t="s">
        <v>68</v>
      </c>
      <c r="G5" s="50">
        <v>5</v>
      </c>
      <c r="H5" s="50" t="s">
        <v>83</v>
      </c>
      <c r="I5" s="51">
        <v>10000</v>
      </c>
      <c r="J5" s="51">
        <v>20000</v>
      </c>
      <c r="K5" s="51">
        <v>0</v>
      </c>
      <c r="L5" s="51">
        <v>10000</v>
      </c>
      <c r="M5" s="52">
        <f t="shared" si="0"/>
        <v>40000</v>
      </c>
      <c r="N5" s="52">
        <v>50000</v>
      </c>
      <c r="P5" s="54" t="s">
        <v>84</v>
      </c>
      <c r="Q5" s="54" t="s">
        <v>78</v>
      </c>
      <c r="R5" s="54" t="s">
        <v>79</v>
      </c>
      <c r="S5" s="54" t="s">
        <v>85</v>
      </c>
    </row>
    <row r="6" spans="1:21" ht="227.25">
      <c r="A6" s="50">
        <v>5</v>
      </c>
      <c r="B6" s="50" t="s">
        <v>74</v>
      </c>
      <c r="C6" s="50" t="s">
        <v>81</v>
      </c>
      <c r="D6" s="50">
        <v>5360</v>
      </c>
      <c r="E6" s="50" t="s">
        <v>86</v>
      </c>
      <c r="F6" s="50" t="s">
        <v>68</v>
      </c>
      <c r="G6" s="50">
        <v>5</v>
      </c>
      <c r="H6" s="50" t="s">
        <v>87</v>
      </c>
      <c r="I6" s="51">
        <v>10000</v>
      </c>
      <c r="J6" s="51">
        <v>20000</v>
      </c>
      <c r="K6" s="51">
        <v>0</v>
      </c>
      <c r="L6" s="51">
        <v>10000</v>
      </c>
      <c r="M6" s="52">
        <f t="shared" si="0"/>
        <v>40000</v>
      </c>
      <c r="N6" s="52">
        <v>50000</v>
      </c>
      <c r="P6" s="54" t="s">
        <v>88</v>
      </c>
      <c r="Q6" s="54" t="s">
        <v>78</v>
      </c>
      <c r="R6" s="54" t="s">
        <v>89</v>
      </c>
      <c r="S6" s="54" t="s">
        <v>90</v>
      </c>
    </row>
    <row r="7" spans="1:21" ht="243.75">
      <c r="A7" s="50">
        <v>5</v>
      </c>
      <c r="B7" s="50" t="s">
        <v>74</v>
      </c>
      <c r="C7" s="50" t="s">
        <v>81</v>
      </c>
      <c r="D7" s="50">
        <v>5631</v>
      </c>
      <c r="E7" s="50" t="s">
        <v>91</v>
      </c>
      <c r="F7" s="50" t="s">
        <v>68</v>
      </c>
      <c r="G7" s="50">
        <v>7.5</v>
      </c>
      <c r="H7" s="50" t="s">
        <v>92</v>
      </c>
      <c r="I7" s="51">
        <v>10000</v>
      </c>
      <c r="J7" s="51">
        <v>20000</v>
      </c>
      <c r="K7" s="51">
        <v>0</v>
      </c>
      <c r="L7" s="51">
        <v>10000</v>
      </c>
      <c r="M7" s="52">
        <f t="shared" si="0"/>
        <v>40000</v>
      </c>
      <c r="N7" s="52">
        <v>50000</v>
      </c>
      <c r="P7" s="54" t="s">
        <v>93</v>
      </c>
      <c r="Q7" s="54" t="s">
        <v>78</v>
      </c>
      <c r="R7" s="54" t="s">
        <v>94</v>
      </c>
      <c r="S7" s="54" t="s">
        <v>95</v>
      </c>
    </row>
    <row r="8" spans="1:21" ht="243.75">
      <c r="A8" s="50">
        <v>5</v>
      </c>
      <c r="B8" s="50" t="s">
        <v>74</v>
      </c>
      <c r="C8" s="50" t="s">
        <v>81</v>
      </c>
      <c r="D8" s="50">
        <v>5380</v>
      </c>
      <c r="E8" s="50" t="s">
        <v>96</v>
      </c>
      <c r="F8" s="50" t="s">
        <v>68</v>
      </c>
      <c r="G8" s="50">
        <v>9.5</v>
      </c>
      <c r="H8" s="50" t="s">
        <v>97</v>
      </c>
      <c r="I8" s="51">
        <v>10000</v>
      </c>
      <c r="J8" s="51">
        <v>20000</v>
      </c>
      <c r="K8" s="51">
        <v>0</v>
      </c>
      <c r="L8" s="51">
        <v>10000</v>
      </c>
      <c r="M8" s="52">
        <f t="shared" si="0"/>
        <v>40000</v>
      </c>
      <c r="N8" s="52">
        <v>50000</v>
      </c>
      <c r="P8" s="54" t="s">
        <v>98</v>
      </c>
      <c r="Q8" s="54" t="s">
        <v>78</v>
      </c>
      <c r="R8" s="54" t="s">
        <v>72</v>
      </c>
      <c r="S8" s="54" t="s">
        <v>99</v>
      </c>
    </row>
    <row r="9" spans="1:21" ht="228">
      <c r="A9" s="50">
        <v>5</v>
      </c>
      <c r="B9" s="50" t="s">
        <v>74</v>
      </c>
      <c r="C9" s="50" t="s">
        <v>75</v>
      </c>
      <c r="D9" s="50">
        <v>5212</v>
      </c>
      <c r="E9" s="50" t="s">
        <v>100</v>
      </c>
      <c r="F9" s="50" t="s">
        <v>68</v>
      </c>
      <c r="G9" s="50">
        <v>10.6</v>
      </c>
      <c r="H9" s="50" t="s">
        <v>97</v>
      </c>
      <c r="I9" s="51">
        <v>10000</v>
      </c>
      <c r="J9" s="51">
        <v>20000</v>
      </c>
      <c r="K9" s="51">
        <v>0</v>
      </c>
      <c r="L9" s="51">
        <v>10000</v>
      </c>
      <c r="M9" s="52">
        <f t="shared" si="0"/>
        <v>40000</v>
      </c>
      <c r="N9" s="52">
        <v>50000</v>
      </c>
      <c r="P9" s="54" t="s">
        <v>101</v>
      </c>
      <c r="Q9" s="54" t="s">
        <v>78</v>
      </c>
      <c r="R9" s="54" t="s">
        <v>72</v>
      </c>
      <c r="S9" s="54" t="s">
        <v>102</v>
      </c>
    </row>
    <row r="10" spans="1:21" ht="243.75">
      <c r="A10" s="50">
        <v>5</v>
      </c>
      <c r="B10" s="50" t="s">
        <v>74</v>
      </c>
      <c r="C10" s="50" t="s">
        <v>81</v>
      </c>
      <c r="D10" s="50">
        <v>5129</v>
      </c>
      <c r="E10" s="50" t="s">
        <v>103</v>
      </c>
      <c r="F10" s="50" t="s">
        <v>68</v>
      </c>
      <c r="G10" s="50">
        <v>16.2</v>
      </c>
      <c r="H10" s="50" t="s">
        <v>104</v>
      </c>
      <c r="I10" s="51">
        <v>10000</v>
      </c>
      <c r="J10" s="51">
        <v>20000</v>
      </c>
      <c r="K10" s="51">
        <v>0</v>
      </c>
      <c r="L10" s="51">
        <v>10000</v>
      </c>
      <c r="M10" s="52">
        <f t="shared" si="0"/>
        <v>40000</v>
      </c>
      <c r="N10" s="52">
        <v>50000</v>
      </c>
      <c r="P10" s="54" t="s">
        <v>105</v>
      </c>
      <c r="Q10" s="54" t="s">
        <v>78</v>
      </c>
      <c r="R10" s="54" t="s">
        <v>89</v>
      </c>
      <c r="S10" s="54" t="s">
        <v>106</v>
      </c>
    </row>
    <row r="11" spans="1:21" ht="243.75">
      <c r="A11" s="50">
        <v>5</v>
      </c>
      <c r="B11" s="50" t="s">
        <v>74</v>
      </c>
      <c r="C11" s="50" t="s">
        <v>75</v>
      </c>
      <c r="D11" s="50">
        <v>5308</v>
      </c>
      <c r="E11" s="50" t="s">
        <v>107</v>
      </c>
      <c r="F11" s="50" t="s">
        <v>68</v>
      </c>
      <c r="G11" s="50">
        <v>17.8</v>
      </c>
      <c r="H11" s="50" t="s">
        <v>108</v>
      </c>
      <c r="I11" s="51">
        <v>10000</v>
      </c>
      <c r="J11" s="51">
        <v>20000</v>
      </c>
      <c r="K11" s="51">
        <v>0</v>
      </c>
      <c r="L11" s="51">
        <v>10000</v>
      </c>
      <c r="M11" s="52">
        <f t="shared" si="0"/>
        <v>40000</v>
      </c>
      <c r="N11" s="52">
        <v>50000</v>
      </c>
      <c r="P11" s="54" t="s">
        <v>105</v>
      </c>
      <c r="Q11" s="54" t="s">
        <v>78</v>
      </c>
      <c r="R11" s="54" t="s">
        <v>72</v>
      </c>
      <c r="S11" s="54" t="s">
        <v>109</v>
      </c>
    </row>
    <row r="12" spans="1:21" ht="225" customHeight="1">
      <c r="A12" s="50">
        <v>5</v>
      </c>
      <c r="B12" s="50" t="s">
        <v>110</v>
      </c>
      <c r="C12" s="50" t="s">
        <v>111</v>
      </c>
      <c r="D12" s="50">
        <v>5318</v>
      </c>
      <c r="E12" s="50" t="s">
        <v>112</v>
      </c>
      <c r="F12" s="50" t="s">
        <v>113</v>
      </c>
      <c r="G12" s="50">
        <v>23.1</v>
      </c>
      <c r="H12" s="50" t="s">
        <v>114</v>
      </c>
      <c r="I12" s="51">
        <v>10000</v>
      </c>
      <c r="J12" s="51">
        <v>20000</v>
      </c>
      <c r="K12" s="51">
        <v>0</v>
      </c>
      <c r="L12" s="51">
        <v>10000</v>
      </c>
      <c r="M12" s="52">
        <f t="shared" si="0"/>
        <v>40000</v>
      </c>
      <c r="N12" s="52">
        <v>50000</v>
      </c>
      <c r="P12" s="54" t="s">
        <v>115</v>
      </c>
      <c r="Q12" s="54" t="s">
        <v>78</v>
      </c>
      <c r="R12" s="54" t="s">
        <v>72</v>
      </c>
      <c r="S12" s="54" t="s">
        <v>116</v>
      </c>
    </row>
    <row r="13" spans="1:21" ht="258.75">
      <c r="A13" s="50">
        <v>5</v>
      </c>
      <c r="B13" s="50" t="s">
        <v>58</v>
      </c>
      <c r="C13" s="50" t="s">
        <v>59</v>
      </c>
      <c r="D13" s="50">
        <v>5059</v>
      </c>
      <c r="E13" s="50" t="s">
        <v>117</v>
      </c>
      <c r="F13" s="50" t="s">
        <v>61</v>
      </c>
      <c r="G13" s="50">
        <v>30.7</v>
      </c>
      <c r="H13" s="50" t="s">
        <v>118</v>
      </c>
      <c r="I13" s="51">
        <v>10000</v>
      </c>
      <c r="J13" s="51">
        <v>20000</v>
      </c>
      <c r="K13" s="51">
        <v>0</v>
      </c>
      <c r="L13" s="51">
        <v>10000</v>
      </c>
      <c r="M13" s="52">
        <f t="shared" si="0"/>
        <v>40000</v>
      </c>
      <c r="N13" s="52">
        <v>50000</v>
      </c>
      <c r="P13" s="54" t="s">
        <v>119</v>
      </c>
      <c r="Q13" s="54" t="s">
        <v>78</v>
      </c>
      <c r="R13" s="54" t="s">
        <v>120</v>
      </c>
      <c r="S13" s="54" t="s">
        <v>116</v>
      </c>
    </row>
    <row r="14" spans="1:21" ht="321">
      <c r="A14" s="50">
        <v>5</v>
      </c>
      <c r="B14" s="50" t="s">
        <v>121</v>
      </c>
      <c r="C14" s="50" t="s">
        <v>122</v>
      </c>
      <c r="D14" s="50">
        <v>5036</v>
      </c>
      <c r="E14" s="50" t="s">
        <v>123</v>
      </c>
      <c r="F14" s="50" t="s">
        <v>124</v>
      </c>
      <c r="G14" s="50">
        <v>31.9</v>
      </c>
      <c r="H14" s="50" t="s">
        <v>125</v>
      </c>
      <c r="I14" s="51">
        <v>10000</v>
      </c>
      <c r="J14" s="51">
        <v>20000</v>
      </c>
      <c r="K14" s="51">
        <v>0</v>
      </c>
      <c r="L14" s="51">
        <v>10000</v>
      </c>
      <c r="M14" s="52">
        <f t="shared" si="0"/>
        <v>40000</v>
      </c>
      <c r="N14" s="52">
        <v>50000</v>
      </c>
      <c r="P14" s="54" t="s">
        <v>126</v>
      </c>
      <c r="Q14" s="54" t="s">
        <v>127</v>
      </c>
      <c r="R14" s="54" t="s">
        <v>65</v>
      </c>
      <c r="S14" s="54" t="s">
        <v>128</v>
      </c>
    </row>
    <row r="15" spans="1:21" ht="336">
      <c r="A15" s="50">
        <v>5</v>
      </c>
      <c r="B15" s="50" t="s">
        <v>110</v>
      </c>
      <c r="C15" s="50" t="s">
        <v>111</v>
      </c>
      <c r="D15" s="50">
        <v>5607</v>
      </c>
      <c r="E15" s="50" t="s">
        <v>129</v>
      </c>
      <c r="F15" s="50" t="s">
        <v>113</v>
      </c>
      <c r="G15" s="50">
        <v>31.9</v>
      </c>
      <c r="H15" s="50" t="s">
        <v>130</v>
      </c>
      <c r="I15" s="51">
        <v>10000</v>
      </c>
      <c r="J15" s="51">
        <v>20000</v>
      </c>
      <c r="K15" s="51">
        <v>0</v>
      </c>
      <c r="L15" s="51">
        <v>10000</v>
      </c>
      <c r="M15" s="52">
        <f t="shared" si="0"/>
        <v>40000</v>
      </c>
      <c r="N15" s="52">
        <v>50000</v>
      </c>
      <c r="P15" s="54" t="s">
        <v>131</v>
      </c>
      <c r="Q15" s="57" t="s">
        <v>132</v>
      </c>
      <c r="R15" s="57" t="s">
        <v>133</v>
      </c>
      <c r="S15" s="57" t="s">
        <v>134</v>
      </c>
    </row>
    <row r="16" spans="1:21" ht="321">
      <c r="A16" s="50">
        <v>5</v>
      </c>
      <c r="B16" s="50" t="s">
        <v>135</v>
      </c>
      <c r="C16" s="50" t="s">
        <v>136</v>
      </c>
      <c r="D16" s="50">
        <v>5664</v>
      </c>
      <c r="E16" s="50" t="s">
        <v>137</v>
      </c>
      <c r="F16" s="50" t="s">
        <v>138</v>
      </c>
      <c r="G16" s="50">
        <v>32.299999999999997</v>
      </c>
      <c r="H16" s="50" t="s">
        <v>139</v>
      </c>
      <c r="I16" s="51">
        <v>10000</v>
      </c>
      <c r="J16" s="51">
        <v>20000</v>
      </c>
      <c r="K16" s="51">
        <v>0</v>
      </c>
      <c r="L16" s="51">
        <v>10000</v>
      </c>
      <c r="M16" s="52">
        <f t="shared" si="0"/>
        <v>40000</v>
      </c>
      <c r="N16" s="52">
        <v>50000</v>
      </c>
      <c r="P16" s="57" t="s">
        <v>140</v>
      </c>
      <c r="Q16" s="57" t="s">
        <v>141</v>
      </c>
      <c r="R16" s="57" t="s">
        <v>142</v>
      </c>
      <c r="S16" s="58" t="s">
        <v>143</v>
      </c>
    </row>
    <row r="17" spans="1:19" ht="290.25">
      <c r="A17" s="50">
        <v>5</v>
      </c>
      <c r="B17" s="50" t="s">
        <v>121</v>
      </c>
      <c r="C17" s="50" t="s">
        <v>122</v>
      </c>
      <c r="D17" s="50">
        <v>5030</v>
      </c>
      <c r="E17" s="50" t="s">
        <v>144</v>
      </c>
      <c r="F17" s="50" t="s">
        <v>124</v>
      </c>
      <c r="G17" s="50">
        <v>33.1</v>
      </c>
      <c r="H17" s="50" t="s">
        <v>145</v>
      </c>
      <c r="I17" s="51">
        <v>10000</v>
      </c>
      <c r="J17" s="51">
        <v>20000</v>
      </c>
      <c r="K17" s="51">
        <v>0</v>
      </c>
      <c r="L17" s="51">
        <v>10000</v>
      </c>
      <c r="M17" s="52">
        <f t="shared" si="0"/>
        <v>40000</v>
      </c>
      <c r="N17" s="52">
        <v>50000</v>
      </c>
      <c r="P17" s="54" t="s">
        <v>146</v>
      </c>
      <c r="Q17" s="54" t="s">
        <v>64</v>
      </c>
      <c r="R17" s="54" t="s">
        <v>147</v>
      </c>
      <c r="S17" s="54" t="s">
        <v>148</v>
      </c>
    </row>
    <row r="18" spans="1:19" ht="243.75">
      <c r="A18" s="50">
        <v>5</v>
      </c>
      <c r="B18" s="50" t="s">
        <v>74</v>
      </c>
      <c r="C18" s="50" t="s">
        <v>75</v>
      </c>
      <c r="D18" s="50">
        <v>5079</v>
      </c>
      <c r="E18" s="50" t="s">
        <v>149</v>
      </c>
      <c r="F18" s="50" t="s">
        <v>68</v>
      </c>
      <c r="G18" s="50">
        <v>33.5</v>
      </c>
      <c r="H18" s="50" t="s">
        <v>150</v>
      </c>
      <c r="I18" s="51">
        <v>10000</v>
      </c>
      <c r="J18" s="51">
        <v>20000</v>
      </c>
      <c r="K18" s="51">
        <v>0</v>
      </c>
      <c r="L18" s="51">
        <v>10000</v>
      </c>
      <c r="M18" s="52">
        <f t="shared" si="0"/>
        <v>40000</v>
      </c>
      <c r="N18" s="52">
        <v>50000</v>
      </c>
      <c r="P18" s="54" t="s">
        <v>115</v>
      </c>
      <c r="Q18" s="54" t="s">
        <v>78</v>
      </c>
      <c r="R18" s="54" t="s">
        <v>72</v>
      </c>
      <c r="S18" s="54" t="s">
        <v>116</v>
      </c>
    </row>
    <row r="19" spans="1:19" ht="290.25">
      <c r="A19" s="50">
        <v>5</v>
      </c>
      <c r="B19" s="50" t="s">
        <v>58</v>
      </c>
      <c r="C19" s="50" t="s">
        <v>59</v>
      </c>
      <c r="D19" s="50">
        <v>5240</v>
      </c>
      <c r="E19" s="50" t="s">
        <v>151</v>
      </c>
      <c r="F19" s="50" t="s">
        <v>61</v>
      </c>
      <c r="G19" s="50">
        <v>35.93</v>
      </c>
      <c r="H19" s="50" t="s">
        <v>152</v>
      </c>
      <c r="I19" s="51">
        <v>10000</v>
      </c>
      <c r="J19" s="51">
        <v>20000</v>
      </c>
      <c r="K19" s="51">
        <v>0</v>
      </c>
      <c r="L19" s="51">
        <v>10000</v>
      </c>
      <c r="M19" s="52">
        <f t="shared" si="0"/>
        <v>40000</v>
      </c>
      <c r="N19" s="52">
        <v>50000</v>
      </c>
      <c r="P19" s="54" t="s">
        <v>153</v>
      </c>
      <c r="Q19" s="54" t="s">
        <v>154</v>
      </c>
      <c r="R19" s="54" t="s">
        <v>155</v>
      </c>
      <c r="S19" s="54" t="s">
        <v>156</v>
      </c>
    </row>
    <row r="20" spans="1:19" ht="336">
      <c r="A20" s="50">
        <v>5</v>
      </c>
      <c r="B20" s="50" t="s">
        <v>110</v>
      </c>
      <c r="C20" s="50" t="s">
        <v>111</v>
      </c>
      <c r="D20" s="50">
        <v>5376</v>
      </c>
      <c r="E20" s="50" t="s">
        <v>157</v>
      </c>
      <c r="F20" s="50" t="s">
        <v>113</v>
      </c>
      <c r="G20" s="50">
        <v>40.1</v>
      </c>
      <c r="H20" s="50" t="s">
        <v>158</v>
      </c>
      <c r="I20" s="51">
        <v>10000</v>
      </c>
      <c r="J20" s="51">
        <v>20000</v>
      </c>
      <c r="K20" s="51">
        <v>0</v>
      </c>
      <c r="L20" s="51">
        <v>10000</v>
      </c>
      <c r="M20" s="52">
        <f t="shared" si="0"/>
        <v>40000</v>
      </c>
      <c r="N20" s="52">
        <v>50000</v>
      </c>
      <c r="P20" s="54" t="s">
        <v>159</v>
      </c>
      <c r="Q20" s="57" t="s">
        <v>160</v>
      </c>
      <c r="R20" s="57" t="s">
        <v>133</v>
      </c>
      <c r="S20" s="57" t="s">
        <v>134</v>
      </c>
    </row>
    <row r="21" spans="1:19" ht="336">
      <c r="A21" s="50">
        <v>5</v>
      </c>
      <c r="B21" s="50" t="s">
        <v>110</v>
      </c>
      <c r="C21" s="50" t="s">
        <v>111</v>
      </c>
      <c r="D21" s="50">
        <v>5440</v>
      </c>
      <c r="E21" s="50" t="s">
        <v>161</v>
      </c>
      <c r="F21" s="50" t="s">
        <v>113</v>
      </c>
      <c r="G21" s="50">
        <v>40.799999999999997</v>
      </c>
      <c r="H21" s="50" t="s">
        <v>162</v>
      </c>
      <c r="I21" s="51">
        <v>10000</v>
      </c>
      <c r="J21" s="51">
        <v>20000</v>
      </c>
      <c r="K21" s="51">
        <v>0</v>
      </c>
      <c r="L21" s="51">
        <v>10000</v>
      </c>
      <c r="M21" s="52">
        <f t="shared" si="0"/>
        <v>40000</v>
      </c>
      <c r="N21" s="52">
        <v>50000</v>
      </c>
      <c r="P21" s="54" t="s">
        <v>131</v>
      </c>
      <c r="Q21" s="57" t="s">
        <v>163</v>
      </c>
      <c r="R21" s="57" t="s">
        <v>133</v>
      </c>
      <c r="S21" s="57" t="s">
        <v>164</v>
      </c>
    </row>
    <row r="22" spans="1:19" ht="321">
      <c r="A22" s="50">
        <v>5</v>
      </c>
      <c r="B22" s="50" t="s">
        <v>135</v>
      </c>
      <c r="C22" s="50" t="s">
        <v>136</v>
      </c>
      <c r="D22" s="50">
        <v>5237</v>
      </c>
      <c r="E22" s="50" t="s">
        <v>165</v>
      </c>
      <c r="F22" s="50" t="s">
        <v>138</v>
      </c>
      <c r="G22" s="50">
        <v>40.9</v>
      </c>
      <c r="H22" s="50" t="s">
        <v>166</v>
      </c>
      <c r="I22" s="51">
        <v>10000</v>
      </c>
      <c r="J22" s="51">
        <v>20000</v>
      </c>
      <c r="K22" s="51">
        <v>0</v>
      </c>
      <c r="L22" s="51">
        <v>10000</v>
      </c>
      <c r="M22" s="52">
        <f t="shared" si="0"/>
        <v>40000</v>
      </c>
      <c r="N22" s="52">
        <v>50000</v>
      </c>
      <c r="P22" s="57" t="s">
        <v>140</v>
      </c>
      <c r="Q22" s="57" t="s">
        <v>167</v>
      </c>
      <c r="R22" s="57" t="s">
        <v>168</v>
      </c>
      <c r="S22" s="58" t="s">
        <v>169</v>
      </c>
    </row>
    <row r="23" spans="1:19" ht="290.25">
      <c r="A23" s="50">
        <v>5</v>
      </c>
      <c r="B23" s="50" t="s">
        <v>58</v>
      </c>
      <c r="C23" s="50" t="s">
        <v>59</v>
      </c>
      <c r="D23" s="50">
        <v>5761</v>
      </c>
      <c r="E23" s="50" t="s">
        <v>170</v>
      </c>
      <c r="F23" s="50" t="s">
        <v>61</v>
      </c>
      <c r="G23" s="50">
        <v>42.3</v>
      </c>
      <c r="H23" s="50" t="s">
        <v>171</v>
      </c>
      <c r="I23" s="51">
        <v>10000</v>
      </c>
      <c r="J23" s="51">
        <v>20000</v>
      </c>
      <c r="K23" s="51">
        <v>0</v>
      </c>
      <c r="L23" s="51">
        <v>10000</v>
      </c>
      <c r="M23" s="52">
        <f t="shared" si="0"/>
        <v>40000</v>
      </c>
      <c r="N23" s="52">
        <v>50000</v>
      </c>
      <c r="P23" s="54" t="s">
        <v>153</v>
      </c>
      <c r="Q23" s="54" t="s">
        <v>64</v>
      </c>
      <c r="R23" s="54" t="s">
        <v>172</v>
      </c>
      <c r="S23" s="54" t="s">
        <v>173</v>
      </c>
    </row>
    <row r="24" spans="1:19" ht="336">
      <c r="A24" s="50">
        <v>5</v>
      </c>
      <c r="B24" s="50" t="s">
        <v>110</v>
      </c>
      <c r="C24" s="50" t="s">
        <v>111</v>
      </c>
      <c r="D24" s="50">
        <v>5674</v>
      </c>
      <c r="E24" s="50" t="s">
        <v>174</v>
      </c>
      <c r="F24" s="50" t="s">
        <v>113</v>
      </c>
      <c r="G24" s="50">
        <v>42.6</v>
      </c>
      <c r="H24" s="50" t="s">
        <v>175</v>
      </c>
      <c r="I24" s="51">
        <v>10000</v>
      </c>
      <c r="J24" s="51">
        <v>20000</v>
      </c>
      <c r="K24" s="51">
        <v>0</v>
      </c>
      <c r="L24" s="51">
        <v>10000</v>
      </c>
      <c r="M24" s="52">
        <f t="shared" si="0"/>
        <v>40000</v>
      </c>
      <c r="N24" s="52">
        <v>50000</v>
      </c>
      <c r="P24" s="54" t="s">
        <v>176</v>
      </c>
      <c r="Q24" s="57" t="s">
        <v>163</v>
      </c>
      <c r="R24" s="57" t="s">
        <v>133</v>
      </c>
      <c r="S24" s="57" t="s">
        <v>177</v>
      </c>
    </row>
    <row r="25" spans="1:19" ht="321">
      <c r="A25" s="50">
        <v>5</v>
      </c>
      <c r="B25" s="50" t="s">
        <v>135</v>
      </c>
      <c r="C25" s="50" t="s">
        <v>136</v>
      </c>
      <c r="D25" s="50">
        <v>5264</v>
      </c>
      <c r="E25" s="50" t="s">
        <v>178</v>
      </c>
      <c r="F25" s="50" t="s">
        <v>138</v>
      </c>
      <c r="G25" s="50">
        <v>42.8</v>
      </c>
      <c r="H25" s="50" t="s">
        <v>118</v>
      </c>
      <c r="I25" s="51">
        <v>10000</v>
      </c>
      <c r="J25" s="51">
        <v>20000</v>
      </c>
      <c r="K25" s="51">
        <v>0</v>
      </c>
      <c r="L25" s="51">
        <v>10000</v>
      </c>
      <c r="M25" s="52">
        <f t="shared" si="0"/>
        <v>40000</v>
      </c>
      <c r="N25" s="52">
        <v>50000</v>
      </c>
      <c r="P25" s="57" t="s">
        <v>140</v>
      </c>
      <c r="Q25" s="57" t="s">
        <v>179</v>
      </c>
      <c r="R25" s="57" t="s">
        <v>142</v>
      </c>
      <c r="S25" s="58" t="s">
        <v>180</v>
      </c>
    </row>
    <row r="26" spans="1:19" ht="336">
      <c r="A26" s="50">
        <v>5</v>
      </c>
      <c r="B26" s="50" t="s">
        <v>121</v>
      </c>
      <c r="C26" s="50" t="s">
        <v>181</v>
      </c>
      <c r="D26" s="50">
        <v>5679</v>
      </c>
      <c r="E26" s="50" t="s">
        <v>182</v>
      </c>
      <c r="F26" s="50" t="s">
        <v>124</v>
      </c>
      <c r="G26" s="50">
        <v>45.2</v>
      </c>
      <c r="H26" s="50" t="s">
        <v>183</v>
      </c>
      <c r="I26" s="51">
        <v>10000</v>
      </c>
      <c r="J26" s="51">
        <v>20000</v>
      </c>
      <c r="K26" s="51">
        <v>0</v>
      </c>
      <c r="L26" s="51">
        <v>10000</v>
      </c>
      <c r="M26" s="52">
        <f t="shared" si="0"/>
        <v>40000</v>
      </c>
      <c r="N26" s="52">
        <v>50000</v>
      </c>
      <c r="P26" s="54" t="s">
        <v>184</v>
      </c>
      <c r="Q26" s="54" t="s">
        <v>127</v>
      </c>
      <c r="R26" s="54" t="s">
        <v>65</v>
      </c>
      <c r="S26" s="54" t="s">
        <v>148</v>
      </c>
    </row>
    <row r="27" spans="1:19" ht="336">
      <c r="A27" s="50">
        <v>5</v>
      </c>
      <c r="B27" s="50" t="s">
        <v>121</v>
      </c>
      <c r="C27" s="50" t="s">
        <v>181</v>
      </c>
      <c r="D27" s="50">
        <v>5467</v>
      </c>
      <c r="E27" s="50" t="s">
        <v>185</v>
      </c>
      <c r="F27" s="50" t="s">
        <v>124</v>
      </c>
      <c r="G27" s="50">
        <v>46.2</v>
      </c>
      <c r="H27" s="50" t="s">
        <v>186</v>
      </c>
      <c r="I27" s="51">
        <v>10000</v>
      </c>
      <c r="J27" s="51">
        <v>20000</v>
      </c>
      <c r="K27" s="51">
        <v>0</v>
      </c>
      <c r="L27" s="51">
        <v>10000</v>
      </c>
      <c r="M27" s="52">
        <f t="shared" si="0"/>
        <v>40000</v>
      </c>
      <c r="N27" s="52">
        <v>50000</v>
      </c>
      <c r="P27" s="54" t="s">
        <v>187</v>
      </c>
      <c r="Q27" s="54" t="s">
        <v>127</v>
      </c>
      <c r="R27" s="54" t="s">
        <v>65</v>
      </c>
      <c r="S27" s="54" t="s">
        <v>188</v>
      </c>
    </row>
    <row r="28" spans="1:19" ht="336">
      <c r="A28" s="50">
        <v>5</v>
      </c>
      <c r="B28" s="50" t="s">
        <v>121</v>
      </c>
      <c r="C28" s="50" t="s">
        <v>122</v>
      </c>
      <c r="D28" s="50">
        <v>5282</v>
      </c>
      <c r="E28" s="50" t="s">
        <v>189</v>
      </c>
      <c r="F28" s="50" t="s">
        <v>124</v>
      </c>
      <c r="G28" s="50">
        <v>51.2</v>
      </c>
      <c r="H28" s="50" t="s">
        <v>190</v>
      </c>
      <c r="I28" s="51">
        <v>10000</v>
      </c>
      <c r="J28" s="51">
        <v>20000</v>
      </c>
      <c r="K28" s="51">
        <v>0</v>
      </c>
      <c r="L28" s="51">
        <v>10000</v>
      </c>
      <c r="M28" s="52">
        <f t="shared" si="0"/>
        <v>40000</v>
      </c>
      <c r="N28" s="52">
        <v>50000</v>
      </c>
      <c r="P28" s="54" t="s">
        <v>184</v>
      </c>
      <c r="Q28" s="54" t="s">
        <v>127</v>
      </c>
      <c r="R28" s="54" t="s">
        <v>65</v>
      </c>
      <c r="S28" s="54" t="s">
        <v>191</v>
      </c>
    </row>
    <row r="29" spans="1:19" ht="321">
      <c r="A29" s="50">
        <v>5</v>
      </c>
      <c r="B29" s="50" t="s">
        <v>121</v>
      </c>
      <c r="C29" s="50" t="s">
        <v>122</v>
      </c>
      <c r="D29" s="50">
        <v>5809</v>
      </c>
      <c r="E29" s="50" t="s">
        <v>192</v>
      </c>
      <c r="F29" s="50" t="s">
        <v>124</v>
      </c>
      <c r="G29" s="50">
        <v>51.25</v>
      </c>
      <c r="H29" s="50" t="s">
        <v>193</v>
      </c>
      <c r="I29" s="51">
        <v>10000</v>
      </c>
      <c r="J29" s="51">
        <v>20000</v>
      </c>
      <c r="K29" s="51">
        <v>0</v>
      </c>
      <c r="L29" s="51">
        <v>10000</v>
      </c>
      <c r="M29" s="52">
        <f t="shared" si="0"/>
        <v>40000</v>
      </c>
      <c r="N29" s="52">
        <v>50000</v>
      </c>
      <c r="P29" s="54" t="s">
        <v>194</v>
      </c>
      <c r="Q29" s="54" t="s">
        <v>127</v>
      </c>
      <c r="R29" s="54" t="s">
        <v>65</v>
      </c>
      <c r="S29" s="54" t="s">
        <v>195</v>
      </c>
    </row>
    <row r="30" spans="1:19" ht="336">
      <c r="A30" s="50">
        <v>5</v>
      </c>
      <c r="B30" s="50" t="s">
        <v>121</v>
      </c>
      <c r="C30" s="50" t="s">
        <v>122</v>
      </c>
      <c r="D30" s="50">
        <v>5861</v>
      </c>
      <c r="E30" s="50" t="s">
        <v>196</v>
      </c>
      <c r="F30" s="50" t="s">
        <v>124</v>
      </c>
      <c r="G30" s="50">
        <v>51.6</v>
      </c>
      <c r="H30" s="50" t="s">
        <v>190</v>
      </c>
      <c r="I30" s="51">
        <v>10000</v>
      </c>
      <c r="J30" s="51">
        <v>20000</v>
      </c>
      <c r="K30" s="51">
        <v>0</v>
      </c>
      <c r="L30" s="51">
        <v>10000</v>
      </c>
      <c r="M30" s="52">
        <f t="shared" si="0"/>
        <v>40000</v>
      </c>
      <c r="N30" s="52">
        <v>50000</v>
      </c>
      <c r="P30" s="54" t="s">
        <v>184</v>
      </c>
      <c r="Q30" s="54" t="s">
        <v>127</v>
      </c>
      <c r="R30" s="54" t="s">
        <v>197</v>
      </c>
      <c r="S30" s="54" t="s">
        <v>198</v>
      </c>
    </row>
    <row r="31" spans="1:19" ht="336">
      <c r="A31" s="50">
        <v>5</v>
      </c>
      <c r="B31" s="50" t="s">
        <v>110</v>
      </c>
      <c r="C31" s="50" t="s">
        <v>111</v>
      </c>
      <c r="D31" s="50">
        <v>5697</v>
      </c>
      <c r="E31" s="50" t="s">
        <v>199</v>
      </c>
      <c r="F31" s="50" t="s">
        <v>113</v>
      </c>
      <c r="G31" s="50">
        <v>51.8</v>
      </c>
      <c r="H31" s="50" t="s">
        <v>200</v>
      </c>
      <c r="I31" s="51">
        <v>10000</v>
      </c>
      <c r="J31" s="51">
        <v>20000</v>
      </c>
      <c r="K31" s="51">
        <v>0</v>
      </c>
      <c r="L31" s="51">
        <v>10000</v>
      </c>
      <c r="M31" s="52">
        <f t="shared" si="0"/>
        <v>40000</v>
      </c>
      <c r="N31" s="52">
        <v>50000</v>
      </c>
      <c r="P31" s="54" t="s">
        <v>201</v>
      </c>
      <c r="Q31" s="57" t="s">
        <v>163</v>
      </c>
      <c r="R31" s="57" t="s">
        <v>133</v>
      </c>
      <c r="S31" s="57" t="s">
        <v>202</v>
      </c>
    </row>
    <row r="32" spans="1:19" ht="336">
      <c r="A32" s="50">
        <v>5</v>
      </c>
      <c r="B32" s="50" t="s">
        <v>110</v>
      </c>
      <c r="C32" s="50" t="s">
        <v>203</v>
      </c>
      <c r="D32" s="50">
        <v>5206</v>
      </c>
      <c r="E32" s="50" t="s">
        <v>204</v>
      </c>
      <c r="F32" s="50" t="s">
        <v>113</v>
      </c>
      <c r="G32" s="50">
        <v>54.6</v>
      </c>
      <c r="H32" s="50" t="s">
        <v>205</v>
      </c>
      <c r="I32" s="51">
        <v>10000</v>
      </c>
      <c r="J32" s="51">
        <v>20000</v>
      </c>
      <c r="K32" s="51">
        <v>0</v>
      </c>
      <c r="L32" s="51">
        <v>10000</v>
      </c>
      <c r="M32" s="52">
        <f t="shared" si="0"/>
        <v>40000</v>
      </c>
      <c r="N32" s="52">
        <v>50000</v>
      </c>
      <c r="P32" s="54" t="s">
        <v>206</v>
      </c>
      <c r="Q32" s="57" t="s">
        <v>207</v>
      </c>
      <c r="R32" s="57" t="s">
        <v>133</v>
      </c>
      <c r="S32" s="57" t="s">
        <v>208</v>
      </c>
    </row>
    <row r="33" spans="1:19" ht="336">
      <c r="A33" s="50">
        <v>5</v>
      </c>
      <c r="B33" s="50" t="s">
        <v>110</v>
      </c>
      <c r="C33" s="50" t="s">
        <v>111</v>
      </c>
      <c r="D33" s="50">
        <v>5400</v>
      </c>
      <c r="E33" s="50" t="s">
        <v>209</v>
      </c>
      <c r="F33" s="50" t="s">
        <v>113</v>
      </c>
      <c r="G33" s="50">
        <v>54.8</v>
      </c>
      <c r="H33" s="50" t="s">
        <v>205</v>
      </c>
      <c r="I33" s="51">
        <v>10000</v>
      </c>
      <c r="J33" s="51">
        <v>20000</v>
      </c>
      <c r="K33" s="51">
        <v>0</v>
      </c>
      <c r="L33" s="51">
        <v>10000</v>
      </c>
      <c r="M33" s="52">
        <f t="shared" si="0"/>
        <v>40000</v>
      </c>
      <c r="N33" s="52">
        <v>50000</v>
      </c>
      <c r="P33" s="54" t="s">
        <v>201</v>
      </c>
      <c r="Q33" s="57" t="s">
        <v>210</v>
      </c>
      <c r="R33" s="57" t="s">
        <v>133</v>
      </c>
      <c r="S33" s="57" t="s">
        <v>211</v>
      </c>
    </row>
    <row r="34" spans="1:19" ht="336">
      <c r="A34" s="50">
        <v>5</v>
      </c>
      <c r="B34" s="50" t="s">
        <v>110</v>
      </c>
      <c r="C34" s="50" t="s">
        <v>203</v>
      </c>
      <c r="D34" s="50">
        <v>5541</v>
      </c>
      <c r="E34" s="50" t="s">
        <v>212</v>
      </c>
      <c r="F34" s="50" t="s">
        <v>113</v>
      </c>
      <c r="G34" s="50">
        <v>55.9</v>
      </c>
      <c r="H34" s="50" t="s">
        <v>193</v>
      </c>
      <c r="I34" s="51">
        <v>10000</v>
      </c>
      <c r="J34" s="51">
        <v>20000</v>
      </c>
      <c r="K34" s="51">
        <v>0</v>
      </c>
      <c r="L34" s="51">
        <v>10000</v>
      </c>
      <c r="M34" s="52">
        <f t="shared" si="0"/>
        <v>40000</v>
      </c>
      <c r="N34" s="52">
        <v>50000</v>
      </c>
      <c r="P34" s="54" t="s">
        <v>201</v>
      </c>
      <c r="Q34" s="57" t="s">
        <v>213</v>
      </c>
      <c r="R34" s="57" t="s">
        <v>133</v>
      </c>
      <c r="S34" s="57" t="s">
        <v>214</v>
      </c>
    </row>
    <row r="35" spans="1:19" ht="304.5">
      <c r="A35" s="50">
        <v>5</v>
      </c>
      <c r="B35" s="50" t="s">
        <v>135</v>
      </c>
      <c r="C35" s="50" t="s">
        <v>136</v>
      </c>
      <c r="D35" s="50">
        <v>5086</v>
      </c>
      <c r="E35" s="50" t="s">
        <v>215</v>
      </c>
      <c r="F35" s="50" t="s">
        <v>138</v>
      </c>
      <c r="G35" s="50">
        <v>56.4</v>
      </c>
      <c r="H35" s="50" t="s">
        <v>216</v>
      </c>
      <c r="I35" s="51">
        <v>10000</v>
      </c>
      <c r="J35" s="51">
        <v>20000</v>
      </c>
      <c r="K35" s="51">
        <v>0</v>
      </c>
      <c r="L35" s="51">
        <v>10000</v>
      </c>
      <c r="M35" s="52">
        <f t="shared" si="0"/>
        <v>40000</v>
      </c>
      <c r="N35" s="52">
        <v>50000</v>
      </c>
      <c r="P35" s="54" t="s">
        <v>217</v>
      </c>
      <c r="Q35" s="57" t="s">
        <v>218</v>
      </c>
      <c r="R35" s="57" t="s">
        <v>219</v>
      </c>
      <c r="S35" s="58" t="s">
        <v>220</v>
      </c>
    </row>
    <row r="36" spans="1:19" s="62" customFormat="1" ht="409.5">
      <c r="A36" s="59">
        <v>5</v>
      </c>
      <c r="B36" s="59" t="s">
        <v>221</v>
      </c>
      <c r="C36" s="59" t="s">
        <v>222</v>
      </c>
      <c r="D36" s="59">
        <v>5690</v>
      </c>
      <c r="E36" s="59" t="s">
        <v>223</v>
      </c>
      <c r="F36" s="59" t="s">
        <v>224</v>
      </c>
      <c r="G36" s="59">
        <v>63.2</v>
      </c>
      <c r="H36" s="59" t="s">
        <v>225</v>
      </c>
      <c r="I36" s="51">
        <v>10000</v>
      </c>
      <c r="J36" s="51">
        <v>20000</v>
      </c>
      <c r="K36" s="51">
        <v>0</v>
      </c>
      <c r="L36" s="51">
        <v>10000</v>
      </c>
      <c r="M36" s="52">
        <f t="shared" si="0"/>
        <v>40000</v>
      </c>
      <c r="N36" s="52">
        <v>50000</v>
      </c>
      <c r="O36" s="53"/>
      <c r="P36" s="60" t="s">
        <v>226</v>
      </c>
      <c r="Q36" s="61" t="s">
        <v>227</v>
      </c>
      <c r="R36" s="61" t="s">
        <v>228</v>
      </c>
      <c r="S36" s="61" t="s">
        <v>229</v>
      </c>
    </row>
    <row r="37" spans="1:19" ht="244.5">
      <c r="A37" s="50">
        <v>5</v>
      </c>
      <c r="B37" s="50" t="s">
        <v>58</v>
      </c>
      <c r="C37" s="50" t="s">
        <v>59</v>
      </c>
      <c r="D37" s="50">
        <v>5501</v>
      </c>
      <c r="E37" s="50" t="s">
        <v>230</v>
      </c>
      <c r="F37" s="50" t="s">
        <v>61</v>
      </c>
      <c r="G37" s="50">
        <v>64.900000000000006</v>
      </c>
      <c r="H37" s="50" t="s">
        <v>231</v>
      </c>
      <c r="I37" s="51">
        <v>10000</v>
      </c>
      <c r="J37" s="51">
        <v>20000</v>
      </c>
      <c r="K37" s="51">
        <v>0</v>
      </c>
      <c r="L37" s="51">
        <v>10000</v>
      </c>
      <c r="M37" s="52">
        <f t="shared" si="0"/>
        <v>40000</v>
      </c>
      <c r="N37" s="52">
        <v>50000</v>
      </c>
      <c r="P37" s="54" t="s">
        <v>232</v>
      </c>
      <c r="Q37" s="54" t="s">
        <v>233</v>
      </c>
      <c r="R37" s="54" t="s">
        <v>65</v>
      </c>
      <c r="S37" s="54" t="s">
        <v>234</v>
      </c>
    </row>
    <row r="38" spans="1:19" ht="336">
      <c r="A38" s="50">
        <v>5</v>
      </c>
      <c r="B38" s="50" t="s">
        <v>110</v>
      </c>
      <c r="C38" s="50" t="s">
        <v>203</v>
      </c>
      <c r="D38" s="50">
        <v>5313</v>
      </c>
      <c r="E38" s="50" t="s">
        <v>235</v>
      </c>
      <c r="F38" s="50" t="s">
        <v>113</v>
      </c>
      <c r="G38" s="50">
        <v>67</v>
      </c>
      <c r="H38" s="50" t="s">
        <v>236</v>
      </c>
      <c r="I38" s="51">
        <v>10000</v>
      </c>
      <c r="J38" s="51">
        <v>20000</v>
      </c>
      <c r="K38" s="51">
        <v>0</v>
      </c>
      <c r="L38" s="51">
        <v>10000</v>
      </c>
      <c r="M38" s="52">
        <f t="shared" si="0"/>
        <v>40000</v>
      </c>
      <c r="N38" s="52">
        <v>50000</v>
      </c>
      <c r="P38" s="54" t="s">
        <v>131</v>
      </c>
      <c r="Q38" s="57" t="s">
        <v>237</v>
      </c>
      <c r="R38" s="57" t="s">
        <v>133</v>
      </c>
      <c r="S38" s="57" t="s">
        <v>238</v>
      </c>
    </row>
    <row r="39" spans="1:19" ht="304.5">
      <c r="A39" s="50">
        <v>5</v>
      </c>
      <c r="B39" s="50" t="s">
        <v>135</v>
      </c>
      <c r="C39" s="50" t="s">
        <v>136</v>
      </c>
      <c r="D39" s="50">
        <v>5686</v>
      </c>
      <c r="E39" s="50" t="s">
        <v>239</v>
      </c>
      <c r="F39" s="50" t="s">
        <v>138</v>
      </c>
      <c r="G39" s="50">
        <v>68</v>
      </c>
      <c r="H39" s="50" t="s">
        <v>205</v>
      </c>
      <c r="I39" s="51">
        <v>10000</v>
      </c>
      <c r="J39" s="51">
        <v>20000</v>
      </c>
      <c r="K39" s="51">
        <v>0</v>
      </c>
      <c r="L39" s="51">
        <v>10000</v>
      </c>
      <c r="M39" s="52">
        <f t="shared" si="0"/>
        <v>40000</v>
      </c>
      <c r="N39" s="52">
        <v>50000</v>
      </c>
      <c r="P39" s="54" t="s">
        <v>240</v>
      </c>
      <c r="Q39" s="57" t="s">
        <v>241</v>
      </c>
      <c r="R39" s="57" t="s">
        <v>142</v>
      </c>
      <c r="S39" s="58" t="s">
        <v>242</v>
      </c>
    </row>
    <row r="40" spans="1:19" ht="336">
      <c r="A40" s="50">
        <v>5</v>
      </c>
      <c r="B40" s="50" t="s">
        <v>110</v>
      </c>
      <c r="C40" s="50" t="s">
        <v>203</v>
      </c>
      <c r="D40" s="50">
        <v>5321</v>
      </c>
      <c r="E40" s="50" t="s">
        <v>243</v>
      </c>
      <c r="F40" s="50" t="s">
        <v>113</v>
      </c>
      <c r="G40" s="50">
        <v>70.900000000000006</v>
      </c>
      <c r="H40" s="50" t="s">
        <v>244</v>
      </c>
      <c r="I40" s="51">
        <v>10000</v>
      </c>
      <c r="J40" s="51">
        <v>20000</v>
      </c>
      <c r="K40" s="51">
        <v>0</v>
      </c>
      <c r="L40" s="51">
        <v>10000</v>
      </c>
      <c r="M40" s="52">
        <f t="shared" si="0"/>
        <v>40000</v>
      </c>
      <c r="N40" s="52">
        <v>50000</v>
      </c>
      <c r="P40" s="54" t="s">
        <v>245</v>
      </c>
      <c r="Q40" s="57" t="s">
        <v>246</v>
      </c>
      <c r="R40" s="57" t="s">
        <v>133</v>
      </c>
      <c r="S40" s="57" t="s">
        <v>247</v>
      </c>
    </row>
    <row r="41" spans="1:19" ht="336">
      <c r="A41" s="50">
        <v>5</v>
      </c>
      <c r="B41" s="50" t="s">
        <v>110</v>
      </c>
      <c r="C41" s="50" t="s">
        <v>203</v>
      </c>
      <c r="D41" s="50">
        <v>5021</v>
      </c>
      <c r="E41" s="50" t="s">
        <v>248</v>
      </c>
      <c r="F41" s="50" t="s">
        <v>113</v>
      </c>
      <c r="G41" s="50">
        <v>71.5</v>
      </c>
      <c r="H41" s="50" t="s">
        <v>249</v>
      </c>
      <c r="I41" s="51">
        <v>10000</v>
      </c>
      <c r="J41" s="51">
        <v>20000</v>
      </c>
      <c r="K41" s="51">
        <v>0</v>
      </c>
      <c r="L41" s="51">
        <v>10000</v>
      </c>
      <c r="M41" s="52">
        <f t="shared" si="0"/>
        <v>40000</v>
      </c>
      <c r="N41" s="52">
        <v>50000</v>
      </c>
      <c r="P41" s="54" t="s">
        <v>250</v>
      </c>
      <c r="Q41" s="57" t="s">
        <v>251</v>
      </c>
      <c r="R41" s="57" t="s">
        <v>133</v>
      </c>
      <c r="S41" s="57" t="s">
        <v>252</v>
      </c>
    </row>
    <row r="42" spans="1:19" ht="290.25">
      <c r="A42" s="50">
        <v>5</v>
      </c>
      <c r="B42" s="50" t="s">
        <v>58</v>
      </c>
      <c r="C42" s="50" t="s">
        <v>59</v>
      </c>
      <c r="D42" s="50">
        <v>5411</v>
      </c>
      <c r="E42" s="50" t="s">
        <v>253</v>
      </c>
      <c r="F42" s="50" t="s">
        <v>61</v>
      </c>
      <c r="G42" s="50">
        <v>72.400000000000006</v>
      </c>
      <c r="H42" s="50" t="s">
        <v>254</v>
      </c>
      <c r="I42" s="51">
        <v>10000</v>
      </c>
      <c r="J42" s="51">
        <v>20000</v>
      </c>
      <c r="K42" s="51">
        <v>0</v>
      </c>
      <c r="L42" s="51">
        <v>10000</v>
      </c>
      <c r="M42" s="52">
        <f t="shared" si="0"/>
        <v>40000</v>
      </c>
      <c r="N42" s="52">
        <v>50000</v>
      </c>
      <c r="P42" s="54" t="s">
        <v>255</v>
      </c>
      <c r="Q42" s="54" t="s">
        <v>64</v>
      </c>
      <c r="R42" s="54" t="s">
        <v>256</v>
      </c>
      <c r="S42" s="54" t="s">
        <v>257</v>
      </c>
    </row>
    <row r="43" spans="1:19" ht="336">
      <c r="A43" s="50">
        <v>5</v>
      </c>
      <c r="B43" s="50" t="s">
        <v>110</v>
      </c>
      <c r="C43" s="50" t="s">
        <v>258</v>
      </c>
      <c r="D43" s="50">
        <v>5197</v>
      </c>
      <c r="E43" s="50" t="s">
        <v>259</v>
      </c>
      <c r="F43" s="50" t="s">
        <v>113</v>
      </c>
      <c r="G43" s="50">
        <v>74.099999999999994</v>
      </c>
      <c r="H43" s="50" t="s">
        <v>260</v>
      </c>
      <c r="I43" s="51">
        <v>10000</v>
      </c>
      <c r="J43" s="51">
        <v>20000</v>
      </c>
      <c r="K43" s="51">
        <v>0</v>
      </c>
      <c r="L43" s="51">
        <v>10000</v>
      </c>
      <c r="M43" s="52">
        <f t="shared" si="0"/>
        <v>40000</v>
      </c>
      <c r="N43" s="52">
        <v>50000</v>
      </c>
      <c r="P43" s="54" t="s">
        <v>159</v>
      </c>
      <c r="Q43" s="57" t="s">
        <v>261</v>
      </c>
      <c r="R43" s="57" t="s">
        <v>133</v>
      </c>
      <c r="S43" s="57" t="s">
        <v>262</v>
      </c>
    </row>
    <row r="44" spans="1:19" s="62" customFormat="1" ht="291">
      <c r="A44" s="59">
        <v>5</v>
      </c>
      <c r="B44" s="59" t="s">
        <v>221</v>
      </c>
      <c r="C44" s="59" t="s">
        <v>222</v>
      </c>
      <c r="D44" s="59">
        <v>5190</v>
      </c>
      <c r="E44" s="59" t="s">
        <v>263</v>
      </c>
      <c r="F44" s="59" t="s">
        <v>224</v>
      </c>
      <c r="G44" s="59">
        <v>79.12</v>
      </c>
      <c r="H44" s="59" t="s">
        <v>264</v>
      </c>
      <c r="I44" s="51">
        <v>10000</v>
      </c>
      <c r="J44" s="51">
        <v>20000</v>
      </c>
      <c r="K44" s="51">
        <v>0</v>
      </c>
      <c r="L44" s="51">
        <v>10000</v>
      </c>
      <c r="M44" s="52">
        <f t="shared" si="0"/>
        <v>40000</v>
      </c>
      <c r="N44" s="52">
        <v>50000</v>
      </c>
      <c r="O44" s="53"/>
      <c r="P44" s="61" t="s">
        <v>265</v>
      </c>
      <c r="Q44" s="61" t="s">
        <v>266</v>
      </c>
      <c r="R44" s="61" t="s">
        <v>267</v>
      </c>
      <c r="S44" s="61" t="s">
        <v>268</v>
      </c>
    </row>
    <row r="45" spans="1:19" ht="290.25">
      <c r="A45" s="50">
        <v>5</v>
      </c>
      <c r="B45" s="50" t="s">
        <v>58</v>
      </c>
      <c r="C45" s="50" t="s">
        <v>59</v>
      </c>
      <c r="D45" s="50">
        <v>5347</v>
      </c>
      <c r="E45" s="50" t="s">
        <v>269</v>
      </c>
      <c r="F45" s="50" t="s">
        <v>61</v>
      </c>
      <c r="G45" s="50">
        <v>21.6</v>
      </c>
      <c r="H45" s="50" t="s">
        <v>270</v>
      </c>
      <c r="I45" s="51">
        <v>10000</v>
      </c>
      <c r="J45" s="51">
        <v>20000</v>
      </c>
      <c r="K45" s="51">
        <v>0</v>
      </c>
      <c r="L45" s="51">
        <v>15000</v>
      </c>
      <c r="M45" s="52">
        <f t="shared" si="0"/>
        <v>45000</v>
      </c>
      <c r="N45" s="52">
        <v>50000</v>
      </c>
      <c r="P45" s="54" t="s">
        <v>153</v>
      </c>
      <c r="Q45" s="54" t="s">
        <v>271</v>
      </c>
      <c r="R45" s="54" t="s">
        <v>172</v>
      </c>
      <c r="S45" s="54" t="s">
        <v>272</v>
      </c>
    </row>
    <row r="46" spans="1:19" ht="336">
      <c r="A46" s="50">
        <v>5</v>
      </c>
      <c r="B46" s="50" t="s">
        <v>110</v>
      </c>
      <c r="C46" s="50" t="s">
        <v>111</v>
      </c>
      <c r="D46" s="50">
        <v>5615</v>
      </c>
      <c r="E46" s="50" t="s">
        <v>273</v>
      </c>
      <c r="F46" s="50" t="s">
        <v>113</v>
      </c>
      <c r="G46" s="50">
        <v>40.1</v>
      </c>
      <c r="H46" s="50" t="s">
        <v>270</v>
      </c>
      <c r="I46" s="51">
        <v>10000</v>
      </c>
      <c r="J46" s="51">
        <v>20000</v>
      </c>
      <c r="K46" s="51">
        <v>0</v>
      </c>
      <c r="L46" s="51">
        <v>15000</v>
      </c>
      <c r="M46" s="52">
        <f t="shared" si="0"/>
        <v>45000</v>
      </c>
      <c r="N46" s="52">
        <v>50000</v>
      </c>
      <c r="P46" s="54" t="s">
        <v>159</v>
      </c>
      <c r="Q46" s="57" t="s">
        <v>274</v>
      </c>
      <c r="R46" s="57" t="s">
        <v>133</v>
      </c>
      <c r="S46" s="57" t="s">
        <v>275</v>
      </c>
    </row>
    <row r="47" spans="1:19" ht="336">
      <c r="A47" s="50">
        <v>5</v>
      </c>
      <c r="B47" s="50" t="s">
        <v>110</v>
      </c>
      <c r="C47" s="50" t="s">
        <v>111</v>
      </c>
      <c r="D47" s="50">
        <v>5148</v>
      </c>
      <c r="E47" s="50" t="s">
        <v>276</v>
      </c>
      <c r="F47" s="50" t="s">
        <v>113</v>
      </c>
      <c r="G47" s="50">
        <v>49.6</v>
      </c>
      <c r="H47" s="50" t="s">
        <v>118</v>
      </c>
      <c r="I47" s="51">
        <v>10000</v>
      </c>
      <c r="J47" s="51">
        <v>25000</v>
      </c>
      <c r="K47" s="51">
        <v>0</v>
      </c>
      <c r="L47" s="51">
        <v>10000</v>
      </c>
      <c r="M47" s="52">
        <f t="shared" si="0"/>
        <v>45000</v>
      </c>
      <c r="N47" s="52">
        <v>50000</v>
      </c>
      <c r="P47" s="54" t="s">
        <v>201</v>
      </c>
      <c r="Q47" s="57" t="s">
        <v>277</v>
      </c>
      <c r="R47" s="57" t="s">
        <v>133</v>
      </c>
      <c r="S47" s="57" t="s">
        <v>278</v>
      </c>
    </row>
    <row r="48" spans="1:19" ht="305.25">
      <c r="A48" s="50">
        <v>5</v>
      </c>
      <c r="B48" s="50" t="s">
        <v>58</v>
      </c>
      <c r="C48" s="50" t="s">
        <v>59</v>
      </c>
      <c r="D48" s="50">
        <v>5044</v>
      </c>
      <c r="E48" s="50" t="s">
        <v>279</v>
      </c>
      <c r="F48" s="50" t="s">
        <v>61</v>
      </c>
      <c r="G48" s="50">
        <v>73.97</v>
      </c>
      <c r="H48" s="50" t="s">
        <v>186</v>
      </c>
      <c r="I48" s="51">
        <v>10000</v>
      </c>
      <c r="J48" s="51">
        <v>20000</v>
      </c>
      <c r="K48" s="51">
        <v>0</v>
      </c>
      <c r="L48" s="51">
        <v>15000</v>
      </c>
      <c r="M48" s="52">
        <f t="shared" si="0"/>
        <v>45000</v>
      </c>
      <c r="N48" s="52">
        <v>50000</v>
      </c>
      <c r="P48" s="54" t="s">
        <v>280</v>
      </c>
      <c r="Q48" s="54" t="s">
        <v>281</v>
      </c>
      <c r="R48" s="54" t="s">
        <v>172</v>
      </c>
      <c r="S48" s="54" t="s">
        <v>257</v>
      </c>
    </row>
    <row r="49" spans="1:20" ht="290.25">
      <c r="A49" s="50">
        <v>5</v>
      </c>
      <c r="B49" s="50" t="s">
        <v>58</v>
      </c>
      <c r="C49" s="50" t="s">
        <v>59</v>
      </c>
      <c r="D49" s="50">
        <v>5042</v>
      </c>
      <c r="E49" s="50" t="s">
        <v>282</v>
      </c>
      <c r="F49" s="50" t="s">
        <v>61</v>
      </c>
      <c r="G49" s="50">
        <v>51.03</v>
      </c>
      <c r="H49" s="50" t="s">
        <v>283</v>
      </c>
      <c r="I49" s="51">
        <v>10000</v>
      </c>
      <c r="J49" s="51">
        <v>25000</v>
      </c>
      <c r="K49" s="51">
        <v>0</v>
      </c>
      <c r="L49" s="51">
        <v>15000</v>
      </c>
      <c r="M49" s="52">
        <f t="shared" si="0"/>
        <v>50000</v>
      </c>
      <c r="N49" s="52">
        <v>50000</v>
      </c>
      <c r="P49" s="54" t="s">
        <v>153</v>
      </c>
      <c r="Q49" s="54" t="s">
        <v>64</v>
      </c>
      <c r="R49" s="54" t="s">
        <v>172</v>
      </c>
      <c r="S49" s="54" t="s">
        <v>284</v>
      </c>
    </row>
    <row r="50" spans="1:20" ht="336">
      <c r="A50" s="50">
        <v>5</v>
      </c>
      <c r="B50" s="50" t="s">
        <v>121</v>
      </c>
      <c r="C50" s="50" t="s">
        <v>181</v>
      </c>
      <c r="D50" s="50">
        <v>5390</v>
      </c>
      <c r="E50" s="50" t="s">
        <v>285</v>
      </c>
      <c r="F50" s="50" t="s">
        <v>124</v>
      </c>
      <c r="G50" s="50">
        <v>73.5</v>
      </c>
      <c r="H50" s="50" t="s">
        <v>286</v>
      </c>
      <c r="I50" s="51">
        <v>10000</v>
      </c>
      <c r="J50" s="51">
        <v>25000</v>
      </c>
      <c r="K50" s="51">
        <v>0</v>
      </c>
      <c r="L50" s="51">
        <v>15000</v>
      </c>
      <c r="M50" s="52">
        <f t="shared" si="0"/>
        <v>50000</v>
      </c>
      <c r="N50" s="52">
        <v>50000</v>
      </c>
      <c r="P50" s="54" t="s">
        <v>287</v>
      </c>
      <c r="Q50" s="54" t="s">
        <v>127</v>
      </c>
      <c r="R50" s="54" t="s">
        <v>197</v>
      </c>
      <c r="S50" s="54" t="s">
        <v>198</v>
      </c>
    </row>
    <row r="51" spans="1:20" ht="321">
      <c r="A51" s="50">
        <v>5</v>
      </c>
      <c r="B51" s="50" t="s">
        <v>121</v>
      </c>
      <c r="C51" s="50" t="s">
        <v>288</v>
      </c>
      <c r="D51" s="50">
        <v>5642</v>
      </c>
      <c r="E51" s="50" t="s">
        <v>289</v>
      </c>
      <c r="F51" s="50" t="s">
        <v>124</v>
      </c>
      <c r="G51" s="50">
        <v>89.9</v>
      </c>
      <c r="H51" s="50" t="s">
        <v>290</v>
      </c>
      <c r="I51" s="51">
        <v>10000</v>
      </c>
      <c r="J51" s="51">
        <v>20000</v>
      </c>
      <c r="K51" s="51">
        <v>60000</v>
      </c>
      <c r="L51" s="51">
        <v>10000</v>
      </c>
      <c r="M51" s="52">
        <f t="shared" si="0"/>
        <v>100000</v>
      </c>
      <c r="O51" s="52">
        <f t="shared" ref="O51:O96" si="1">+I51+J51+K51+L51</f>
        <v>100000</v>
      </c>
      <c r="P51" s="54" t="s">
        <v>291</v>
      </c>
      <c r="Q51" s="54" t="s">
        <v>127</v>
      </c>
      <c r="R51" s="54" t="s">
        <v>292</v>
      </c>
      <c r="S51" s="54" t="s">
        <v>293</v>
      </c>
    </row>
    <row r="52" spans="1:20" ht="318" customHeight="1">
      <c r="A52" s="50">
        <v>5</v>
      </c>
      <c r="B52" s="50" t="s">
        <v>135</v>
      </c>
      <c r="C52" s="50" t="s">
        <v>294</v>
      </c>
      <c r="D52" s="50">
        <v>5361</v>
      </c>
      <c r="E52" s="50" t="s">
        <v>295</v>
      </c>
      <c r="F52" s="50" t="s">
        <v>138</v>
      </c>
      <c r="G52" s="50">
        <v>187.24</v>
      </c>
      <c r="H52" s="50" t="s">
        <v>296</v>
      </c>
      <c r="I52" s="51">
        <v>10000</v>
      </c>
      <c r="J52" s="51">
        <v>20000</v>
      </c>
      <c r="K52" s="51">
        <v>60000</v>
      </c>
      <c r="L52" s="51">
        <v>10000</v>
      </c>
      <c r="M52" s="52">
        <f t="shared" si="0"/>
        <v>100000</v>
      </c>
      <c r="O52" s="52">
        <f t="shared" si="1"/>
        <v>100000</v>
      </c>
      <c r="P52" s="54" t="s">
        <v>297</v>
      </c>
      <c r="Q52" s="54" t="s">
        <v>298</v>
      </c>
      <c r="R52" s="63" t="s">
        <v>299</v>
      </c>
      <c r="S52" s="58" t="s">
        <v>300</v>
      </c>
      <c r="T52" s="64"/>
    </row>
    <row r="53" spans="1:20" ht="302.25">
      <c r="A53" s="50">
        <v>5</v>
      </c>
      <c r="B53" s="50" t="s">
        <v>58</v>
      </c>
      <c r="C53" s="50" t="s">
        <v>301</v>
      </c>
      <c r="D53" s="50">
        <v>5543</v>
      </c>
      <c r="E53" s="50" t="s">
        <v>302</v>
      </c>
      <c r="F53" s="50" t="s">
        <v>61</v>
      </c>
      <c r="G53" s="50">
        <v>199</v>
      </c>
      <c r="H53" s="50" t="s">
        <v>303</v>
      </c>
      <c r="I53" s="51">
        <v>10000</v>
      </c>
      <c r="J53" s="51">
        <v>20000</v>
      </c>
      <c r="K53" s="51">
        <v>60000</v>
      </c>
      <c r="L53" s="51">
        <v>10000</v>
      </c>
      <c r="M53" s="52">
        <f t="shared" si="0"/>
        <v>100000</v>
      </c>
      <c r="O53" s="52">
        <f t="shared" si="1"/>
        <v>100000</v>
      </c>
      <c r="P53" s="54" t="s">
        <v>255</v>
      </c>
      <c r="Q53" s="54" t="s">
        <v>304</v>
      </c>
      <c r="R53" s="54" t="s">
        <v>305</v>
      </c>
      <c r="S53" s="65" t="s">
        <v>306</v>
      </c>
    </row>
    <row r="54" spans="1:20" ht="321" customHeight="1">
      <c r="A54" s="50"/>
      <c r="B54" s="50" t="s">
        <v>135</v>
      </c>
      <c r="C54" s="50" t="s">
        <v>307</v>
      </c>
      <c r="D54" s="50">
        <v>5107</v>
      </c>
      <c r="E54" s="50" t="s">
        <v>308</v>
      </c>
      <c r="F54" s="50" t="s">
        <v>138</v>
      </c>
      <c r="G54" s="50">
        <v>167.24</v>
      </c>
      <c r="H54" s="50" t="s">
        <v>309</v>
      </c>
      <c r="I54" s="51">
        <v>10000</v>
      </c>
      <c r="J54" s="51">
        <v>20000</v>
      </c>
      <c r="K54" s="51">
        <v>60000</v>
      </c>
      <c r="L54" s="51">
        <v>10000</v>
      </c>
      <c r="M54" s="52">
        <f t="shared" si="0"/>
        <v>100000</v>
      </c>
      <c r="O54" s="52">
        <f t="shared" si="1"/>
        <v>100000</v>
      </c>
      <c r="P54" s="54" t="s">
        <v>310</v>
      </c>
      <c r="Q54" s="54" t="s">
        <v>311</v>
      </c>
      <c r="R54" s="54" t="s">
        <v>312</v>
      </c>
      <c r="S54" s="54" t="s">
        <v>313</v>
      </c>
    </row>
    <row r="55" spans="1:20" ht="289.5" customHeight="1">
      <c r="A55" s="50">
        <v>5</v>
      </c>
      <c r="B55" s="50" t="s">
        <v>221</v>
      </c>
      <c r="C55" s="50" t="s">
        <v>314</v>
      </c>
      <c r="D55" s="50">
        <v>5040</v>
      </c>
      <c r="E55" s="50" t="s">
        <v>315</v>
      </c>
      <c r="F55" s="50" t="s">
        <v>224</v>
      </c>
      <c r="G55" s="50">
        <v>166.6</v>
      </c>
      <c r="H55" s="50" t="s">
        <v>316</v>
      </c>
      <c r="I55" s="51">
        <v>10000</v>
      </c>
      <c r="J55" s="51">
        <v>20000</v>
      </c>
      <c r="K55" s="51">
        <v>60000</v>
      </c>
      <c r="L55" s="51">
        <v>10000</v>
      </c>
      <c r="M55" s="52">
        <f t="shared" si="0"/>
        <v>100000</v>
      </c>
      <c r="O55" s="52">
        <f t="shared" si="1"/>
        <v>100000</v>
      </c>
      <c r="P55" s="54" t="s">
        <v>317</v>
      </c>
      <c r="Q55" s="54" t="s">
        <v>318</v>
      </c>
      <c r="R55" s="54" t="s">
        <v>319</v>
      </c>
      <c r="S55" s="54" t="s">
        <v>320</v>
      </c>
    </row>
    <row r="56" spans="1:20" ht="263.25" customHeight="1">
      <c r="A56" s="50">
        <v>5</v>
      </c>
      <c r="B56" s="50" t="s">
        <v>135</v>
      </c>
      <c r="C56" s="50" t="s">
        <v>294</v>
      </c>
      <c r="D56" s="50">
        <v>5819</v>
      </c>
      <c r="E56" s="50" t="s">
        <v>321</v>
      </c>
      <c r="F56" s="50" t="s">
        <v>138</v>
      </c>
      <c r="G56" s="50">
        <v>164.04</v>
      </c>
      <c r="H56" s="50" t="s">
        <v>316</v>
      </c>
      <c r="I56" s="51">
        <v>10000</v>
      </c>
      <c r="J56" s="51">
        <v>20000</v>
      </c>
      <c r="K56" s="51">
        <v>60000</v>
      </c>
      <c r="L56" s="51">
        <v>10000</v>
      </c>
      <c r="M56" s="52">
        <f t="shared" si="0"/>
        <v>100000</v>
      </c>
      <c r="O56" s="52">
        <f t="shared" si="1"/>
        <v>100000</v>
      </c>
      <c r="P56" s="54" t="s">
        <v>322</v>
      </c>
      <c r="Q56" s="54" t="s">
        <v>323</v>
      </c>
      <c r="R56" s="54" t="s">
        <v>324</v>
      </c>
      <c r="S56" s="54" t="s">
        <v>325</v>
      </c>
    </row>
    <row r="57" spans="1:20" ht="336">
      <c r="A57" s="50">
        <v>5</v>
      </c>
      <c r="B57" s="50" t="s">
        <v>121</v>
      </c>
      <c r="C57" s="50" t="s">
        <v>181</v>
      </c>
      <c r="D57" s="50">
        <v>5145</v>
      </c>
      <c r="E57" s="50" t="s">
        <v>326</v>
      </c>
      <c r="F57" s="50" t="s">
        <v>124</v>
      </c>
      <c r="G57" s="50">
        <v>111.7</v>
      </c>
      <c r="H57" s="50" t="s">
        <v>327</v>
      </c>
      <c r="I57" s="51">
        <v>10000</v>
      </c>
      <c r="J57" s="51">
        <v>20000</v>
      </c>
      <c r="K57" s="51">
        <v>60000</v>
      </c>
      <c r="L57" s="51">
        <v>10000</v>
      </c>
      <c r="M57" s="52">
        <f t="shared" si="0"/>
        <v>100000</v>
      </c>
      <c r="O57" s="52">
        <f t="shared" si="1"/>
        <v>100000</v>
      </c>
      <c r="P57" s="54" t="s">
        <v>328</v>
      </c>
      <c r="Q57" s="54" t="s">
        <v>329</v>
      </c>
      <c r="R57" s="54" t="s">
        <v>330</v>
      </c>
      <c r="S57" s="54" t="s">
        <v>331</v>
      </c>
    </row>
    <row r="58" spans="1:20" ht="293.25" customHeight="1">
      <c r="A58" s="50">
        <v>5</v>
      </c>
      <c r="B58" s="50" t="s">
        <v>110</v>
      </c>
      <c r="C58" s="50" t="s">
        <v>203</v>
      </c>
      <c r="D58" s="50">
        <v>5649</v>
      </c>
      <c r="E58" s="50" t="s">
        <v>332</v>
      </c>
      <c r="F58" s="50" t="s">
        <v>113</v>
      </c>
      <c r="G58" s="50">
        <v>137.6</v>
      </c>
      <c r="H58" s="50" t="s">
        <v>333</v>
      </c>
      <c r="I58" s="51">
        <v>10000</v>
      </c>
      <c r="J58" s="51">
        <v>20000</v>
      </c>
      <c r="K58" s="51">
        <v>60000</v>
      </c>
      <c r="L58" s="51">
        <v>10000</v>
      </c>
      <c r="M58" s="52">
        <f t="shared" si="0"/>
        <v>100000</v>
      </c>
      <c r="O58" s="52">
        <f t="shared" si="1"/>
        <v>100000</v>
      </c>
      <c r="P58" s="54" t="s">
        <v>334</v>
      </c>
      <c r="Q58" s="54" t="s">
        <v>335</v>
      </c>
      <c r="R58" s="54" t="s">
        <v>336</v>
      </c>
      <c r="S58" s="54" t="s">
        <v>337</v>
      </c>
    </row>
    <row r="59" spans="1:20" ht="324.75" customHeight="1">
      <c r="A59" s="50">
        <v>5</v>
      </c>
      <c r="B59" s="50" t="s">
        <v>221</v>
      </c>
      <c r="C59" s="50" t="s">
        <v>338</v>
      </c>
      <c r="D59" s="50">
        <v>5858</v>
      </c>
      <c r="E59" s="50" t="s">
        <v>339</v>
      </c>
      <c r="F59" s="50" t="s">
        <v>224</v>
      </c>
      <c r="G59" s="50">
        <v>138.1</v>
      </c>
      <c r="H59" s="50" t="s">
        <v>340</v>
      </c>
      <c r="I59" s="51">
        <v>10000</v>
      </c>
      <c r="J59" s="51">
        <v>20000</v>
      </c>
      <c r="K59" s="51">
        <v>60000</v>
      </c>
      <c r="L59" s="51">
        <v>10000</v>
      </c>
      <c r="M59" s="52">
        <f t="shared" si="0"/>
        <v>100000</v>
      </c>
      <c r="O59" s="52">
        <f t="shared" si="1"/>
        <v>100000</v>
      </c>
      <c r="P59" s="54" t="s">
        <v>341</v>
      </c>
      <c r="Q59" s="54" t="s">
        <v>342</v>
      </c>
      <c r="R59" s="54" t="s">
        <v>343</v>
      </c>
      <c r="S59" s="54" t="s">
        <v>344</v>
      </c>
    </row>
    <row r="60" spans="1:20" ht="305.25">
      <c r="A60" s="50">
        <v>5</v>
      </c>
      <c r="B60" s="50" t="s">
        <v>58</v>
      </c>
      <c r="C60" s="50" t="s">
        <v>301</v>
      </c>
      <c r="D60" s="50">
        <v>5004</v>
      </c>
      <c r="E60" s="50" t="s">
        <v>345</v>
      </c>
      <c r="F60" s="50" t="s">
        <v>61</v>
      </c>
      <c r="G60" s="50">
        <v>161.6</v>
      </c>
      <c r="H60" s="50" t="s">
        <v>346</v>
      </c>
      <c r="I60" s="51">
        <v>10000</v>
      </c>
      <c r="J60" s="51">
        <v>20000</v>
      </c>
      <c r="K60" s="51">
        <v>60000</v>
      </c>
      <c r="L60" s="51">
        <v>10000</v>
      </c>
      <c r="M60" s="52">
        <f t="shared" si="0"/>
        <v>100000</v>
      </c>
      <c r="O60" s="52">
        <f t="shared" si="1"/>
        <v>100000</v>
      </c>
      <c r="P60" s="54" t="s">
        <v>280</v>
      </c>
      <c r="Q60" s="54" t="s">
        <v>347</v>
      </c>
      <c r="R60" s="54" t="s">
        <v>348</v>
      </c>
      <c r="S60" s="54" t="s">
        <v>349</v>
      </c>
    </row>
    <row r="61" spans="1:20" ht="259.5">
      <c r="A61" s="50">
        <v>5</v>
      </c>
      <c r="B61" s="50" t="s">
        <v>110</v>
      </c>
      <c r="C61" s="50" t="s">
        <v>350</v>
      </c>
      <c r="D61" s="50">
        <v>5055</v>
      </c>
      <c r="E61" s="50" t="s">
        <v>351</v>
      </c>
      <c r="F61" s="50" t="s">
        <v>113</v>
      </c>
      <c r="G61" s="50">
        <v>135.4</v>
      </c>
      <c r="H61" s="50" t="s">
        <v>352</v>
      </c>
      <c r="I61" s="51">
        <v>10000</v>
      </c>
      <c r="J61" s="51">
        <v>20000</v>
      </c>
      <c r="K61" s="51">
        <v>60000</v>
      </c>
      <c r="L61" s="51">
        <v>10000</v>
      </c>
      <c r="M61" s="52">
        <f t="shared" si="0"/>
        <v>100000</v>
      </c>
      <c r="O61" s="52">
        <f t="shared" si="1"/>
        <v>100000</v>
      </c>
      <c r="P61" s="54" t="s">
        <v>353</v>
      </c>
      <c r="Q61" s="54" t="s">
        <v>354</v>
      </c>
      <c r="R61" s="54" t="s">
        <v>355</v>
      </c>
      <c r="S61" s="54" t="s">
        <v>356</v>
      </c>
    </row>
    <row r="62" spans="1:20" ht="274.5">
      <c r="A62" s="50">
        <v>5</v>
      </c>
      <c r="B62" s="50" t="s">
        <v>110</v>
      </c>
      <c r="C62" s="50" t="s">
        <v>350</v>
      </c>
      <c r="D62" s="50">
        <v>5483</v>
      </c>
      <c r="E62" s="50" t="s">
        <v>357</v>
      </c>
      <c r="F62" s="50" t="s">
        <v>113</v>
      </c>
      <c r="G62" s="50">
        <v>135.9</v>
      </c>
      <c r="H62" s="50" t="s">
        <v>352</v>
      </c>
      <c r="I62" s="51">
        <v>10000</v>
      </c>
      <c r="J62" s="51">
        <v>20000</v>
      </c>
      <c r="K62" s="51">
        <v>60000</v>
      </c>
      <c r="L62" s="51">
        <v>10000</v>
      </c>
      <c r="M62" s="52">
        <f t="shared" si="0"/>
        <v>100000</v>
      </c>
      <c r="O62" s="52">
        <f t="shared" si="1"/>
        <v>100000</v>
      </c>
      <c r="P62" s="66" t="s">
        <v>358</v>
      </c>
      <c r="Q62" s="67" t="s">
        <v>359</v>
      </c>
      <c r="R62" s="67" t="s">
        <v>360</v>
      </c>
      <c r="S62" s="68" t="s">
        <v>361</v>
      </c>
    </row>
    <row r="63" spans="1:20" ht="252" customHeight="1">
      <c r="A63" s="50">
        <v>5</v>
      </c>
      <c r="B63" s="50" t="s">
        <v>221</v>
      </c>
      <c r="C63" s="50" t="s">
        <v>338</v>
      </c>
      <c r="D63" s="50">
        <v>5885</v>
      </c>
      <c r="E63" s="50" t="s">
        <v>362</v>
      </c>
      <c r="F63" s="50" t="s">
        <v>224</v>
      </c>
      <c r="G63" s="50">
        <v>123.6</v>
      </c>
      <c r="H63" s="50" t="s">
        <v>363</v>
      </c>
      <c r="I63" s="51">
        <v>10000</v>
      </c>
      <c r="J63" s="51">
        <v>20000</v>
      </c>
      <c r="K63" s="51">
        <v>60000</v>
      </c>
      <c r="L63" s="51">
        <v>10000</v>
      </c>
      <c r="M63" s="52">
        <f t="shared" si="0"/>
        <v>100000</v>
      </c>
      <c r="O63" s="52">
        <f t="shared" si="1"/>
        <v>100000</v>
      </c>
      <c r="P63" s="54" t="s">
        <v>364</v>
      </c>
      <c r="Q63" s="54" t="s">
        <v>365</v>
      </c>
      <c r="R63" s="54" t="s">
        <v>366</v>
      </c>
      <c r="S63" s="68" t="s">
        <v>367</v>
      </c>
    </row>
    <row r="64" spans="1:20" ht="303.75">
      <c r="A64" s="50">
        <v>5</v>
      </c>
      <c r="B64" s="50" t="s">
        <v>221</v>
      </c>
      <c r="C64" s="50" t="s">
        <v>338</v>
      </c>
      <c r="D64" s="50">
        <v>5031</v>
      </c>
      <c r="E64" s="50" t="s">
        <v>368</v>
      </c>
      <c r="F64" s="50" t="s">
        <v>224</v>
      </c>
      <c r="G64" s="50">
        <v>136.4</v>
      </c>
      <c r="H64" s="50" t="s">
        <v>369</v>
      </c>
      <c r="I64" s="51">
        <v>10000</v>
      </c>
      <c r="J64" s="51">
        <v>20000</v>
      </c>
      <c r="K64" s="51">
        <v>60000</v>
      </c>
      <c r="L64" s="51">
        <v>10000</v>
      </c>
      <c r="M64" s="52">
        <f t="shared" si="0"/>
        <v>100000</v>
      </c>
      <c r="O64" s="52">
        <f t="shared" si="1"/>
        <v>100000</v>
      </c>
      <c r="P64" s="54" t="s">
        <v>370</v>
      </c>
      <c r="Q64" s="54" t="s">
        <v>371</v>
      </c>
      <c r="R64" s="54" t="s">
        <v>372</v>
      </c>
      <c r="S64" s="54" t="s">
        <v>373</v>
      </c>
    </row>
    <row r="65" spans="1:19" ht="283.5" customHeight="1">
      <c r="A65" s="50">
        <v>5</v>
      </c>
      <c r="B65" s="50" t="s">
        <v>58</v>
      </c>
      <c r="C65" s="50" t="s">
        <v>59</v>
      </c>
      <c r="D65" s="50">
        <v>5628</v>
      </c>
      <c r="E65" s="50" t="s">
        <v>374</v>
      </c>
      <c r="F65" s="50" t="s">
        <v>61</v>
      </c>
      <c r="G65" s="50">
        <v>107.1</v>
      </c>
      <c r="H65" s="50" t="s">
        <v>375</v>
      </c>
      <c r="I65" s="51">
        <v>10000</v>
      </c>
      <c r="J65" s="51">
        <v>20000</v>
      </c>
      <c r="K65" s="51">
        <v>60000</v>
      </c>
      <c r="L65" s="51">
        <v>10000</v>
      </c>
      <c r="M65" s="52">
        <f t="shared" si="0"/>
        <v>100000</v>
      </c>
      <c r="O65" s="52">
        <f t="shared" si="1"/>
        <v>100000</v>
      </c>
      <c r="P65" s="54" t="s">
        <v>376</v>
      </c>
      <c r="Q65" s="54" t="s">
        <v>377</v>
      </c>
      <c r="R65" s="54" t="s">
        <v>378</v>
      </c>
      <c r="S65" s="68" t="s">
        <v>379</v>
      </c>
    </row>
    <row r="66" spans="1:19" ht="321">
      <c r="A66" s="50">
        <v>5</v>
      </c>
      <c r="B66" s="50" t="s">
        <v>121</v>
      </c>
      <c r="C66" s="50" t="s">
        <v>181</v>
      </c>
      <c r="D66" s="50">
        <v>5792</v>
      </c>
      <c r="E66" s="50" t="s">
        <v>380</v>
      </c>
      <c r="F66" s="50" t="s">
        <v>124</v>
      </c>
      <c r="G66" s="50">
        <v>94.34</v>
      </c>
      <c r="H66" s="50" t="s">
        <v>381</v>
      </c>
      <c r="I66" s="51">
        <v>10000</v>
      </c>
      <c r="J66" s="51">
        <v>20000</v>
      </c>
      <c r="K66" s="51">
        <v>60000</v>
      </c>
      <c r="L66" s="51">
        <v>10000</v>
      </c>
      <c r="M66" s="52">
        <f t="shared" si="0"/>
        <v>100000</v>
      </c>
      <c r="O66" s="52">
        <f t="shared" si="1"/>
        <v>100000</v>
      </c>
      <c r="P66" s="54" t="s">
        <v>291</v>
      </c>
      <c r="Q66" s="54" t="s">
        <v>127</v>
      </c>
      <c r="R66" s="54" t="s">
        <v>65</v>
      </c>
      <c r="S66" s="54" t="s">
        <v>382</v>
      </c>
    </row>
    <row r="67" spans="1:19" ht="290.25">
      <c r="A67" s="50">
        <v>5</v>
      </c>
      <c r="B67" s="50" t="s">
        <v>58</v>
      </c>
      <c r="C67" s="50" t="s">
        <v>59</v>
      </c>
      <c r="D67" s="50">
        <v>5125</v>
      </c>
      <c r="E67" s="50" t="s">
        <v>383</v>
      </c>
      <c r="F67" s="50" t="s">
        <v>61</v>
      </c>
      <c r="G67" s="50">
        <v>89.67</v>
      </c>
      <c r="H67" s="50" t="s">
        <v>290</v>
      </c>
      <c r="I67" s="51">
        <v>10000</v>
      </c>
      <c r="J67" s="51">
        <v>20000</v>
      </c>
      <c r="K67" s="51">
        <v>60000</v>
      </c>
      <c r="L67" s="51">
        <v>10000</v>
      </c>
      <c r="M67" s="52">
        <f t="shared" si="0"/>
        <v>100000</v>
      </c>
      <c r="O67" s="52">
        <f t="shared" si="1"/>
        <v>100000</v>
      </c>
      <c r="P67" s="54" t="s">
        <v>153</v>
      </c>
      <c r="Q67" s="54" t="s">
        <v>384</v>
      </c>
      <c r="R67" s="54" t="s">
        <v>385</v>
      </c>
      <c r="S67" s="54" t="s">
        <v>386</v>
      </c>
    </row>
    <row r="68" spans="1:19" ht="305.25">
      <c r="A68" s="50">
        <v>5</v>
      </c>
      <c r="B68" s="50" t="s">
        <v>121</v>
      </c>
      <c r="C68" s="50" t="s">
        <v>288</v>
      </c>
      <c r="D68" s="50">
        <v>5209</v>
      </c>
      <c r="E68" s="50" t="s">
        <v>387</v>
      </c>
      <c r="F68" s="50" t="s">
        <v>124</v>
      </c>
      <c r="G68" s="50">
        <v>86.2</v>
      </c>
      <c r="H68" s="50" t="s">
        <v>290</v>
      </c>
      <c r="I68" s="51">
        <v>10000</v>
      </c>
      <c r="J68" s="51">
        <v>20000</v>
      </c>
      <c r="K68" s="51">
        <v>60000</v>
      </c>
      <c r="L68" s="51">
        <v>10000</v>
      </c>
      <c r="M68" s="52">
        <f t="shared" ref="M68:M126" si="2">+I68+J68+K68+L68</f>
        <v>100000</v>
      </c>
      <c r="O68" s="52">
        <f t="shared" si="1"/>
        <v>100000</v>
      </c>
      <c r="P68" s="54" t="s">
        <v>388</v>
      </c>
      <c r="Q68" s="54" t="s">
        <v>64</v>
      </c>
      <c r="R68" s="54" t="s">
        <v>389</v>
      </c>
      <c r="S68" s="54" t="s">
        <v>390</v>
      </c>
    </row>
    <row r="69" spans="1:19" ht="336">
      <c r="A69" s="50">
        <v>5</v>
      </c>
      <c r="B69" s="50" t="s">
        <v>121</v>
      </c>
      <c r="C69" s="50" t="s">
        <v>391</v>
      </c>
      <c r="D69" s="50">
        <v>5353</v>
      </c>
      <c r="E69" s="50" t="s">
        <v>392</v>
      </c>
      <c r="F69" s="50" t="s">
        <v>124</v>
      </c>
      <c r="G69" s="50">
        <v>91.3</v>
      </c>
      <c r="H69" s="50" t="s">
        <v>393</v>
      </c>
      <c r="I69" s="51">
        <v>10000</v>
      </c>
      <c r="J69" s="51">
        <v>20000</v>
      </c>
      <c r="K69" s="51">
        <v>60000</v>
      </c>
      <c r="L69" s="51">
        <v>10000</v>
      </c>
      <c r="M69" s="52">
        <f t="shared" si="2"/>
        <v>100000</v>
      </c>
      <c r="O69" s="52">
        <f t="shared" si="1"/>
        <v>100000</v>
      </c>
      <c r="P69" s="54" t="s">
        <v>394</v>
      </c>
      <c r="Q69" s="54" t="s">
        <v>127</v>
      </c>
      <c r="R69" s="54" t="s">
        <v>65</v>
      </c>
      <c r="S69" s="54" t="s">
        <v>395</v>
      </c>
    </row>
    <row r="70" spans="1:19" ht="321">
      <c r="A70" s="50">
        <v>5</v>
      </c>
      <c r="B70" s="50" t="s">
        <v>396</v>
      </c>
      <c r="C70" s="50" t="s">
        <v>222</v>
      </c>
      <c r="D70" s="50">
        <v>5142</v>
      </c>
      <c r="E70" s="50" t="s">
        <v>397</v>
      </c>
      <c r="F70" s="50" t="s">
        <v>398</v>
      </c>
      <c r="G70" s="50">
        <v>134.12</v>
      </c>
      <c r="H70" s="50" t="s">
        <v>399</v>
      </c>
      <c r="I70" s="51">
        <v>10000</v>
      </c>
      <c r="J70" s="51">
        <v>20000</v>
      </c>
      <c r="K70" s="51">
        <v>60000</v>
      </c>
      <c r="L70" s="51">
        <v>10000</v>
      </c>
      <c r="M70" s="52">
        <f t="shared" si="2"/>
        <v>100000</v>
      </c>
      <c r="O70" s="52">
        <f t="shared" si="1"/>
        <v>100000</v>
      </c>
      <c r="P70" s="57" t="s">
        <v>400</v>
      </c>
      <c r="Q70" s="54" t="s">
        <v>401</v>
      </c>
      <c r="R70" s="63" t="s">
        <v>402</v>
      </c>
      <c r="S70" s="54" t="s">
        <v>403</v>
      </c>
    </row>
    <row r="71" spans="1:19" ht="290.25">
      <c r="A71" s="50">
        <v>5</v>
      </c>
      <c r="B71" s="50" t="s">
        <v>121</v>
      </c>
      <c r="C71" s="50" t="s">
        <v>288</v>
      </c>
      <c r="D71" s="50">
        <v>5093</v>
      </c>
      <c r="E71" s="50" t="s">
        <v>404</v>
      </c>
      <c r="F71" s="50" t="s">
        <v>124</v>
      </c>
      <c r="G71" s="50">
        <v>110.1</v>
      </c>
      <c r="H71" s="50" t="s">
        <v>405</v>
      </c>
      <c r="I71" s="51">
        <v>10000</v>
      </c>
      <c r="J71" s="51">
        <v>20000</v>
      </c>
      <c r="K71" s="51">
        <v>60000</v>
      </c>
      <c r="L71" s="51">
        <v>10000</v>
      </c>
      <c r="M71" s="52">
        <f t="shared" si="2"/>
        <v>100000</v>
      </c>
      <c r="O71" s="52">
        <f t="shared" si="1"/>
        <v>100000</v>
      </c>
      <c r="P71" s="54" t="s">
        <v>406</v>
      </c>
      <c r="Q71" s="54" t="s">
        <v>64</v>
      </c>
      <c r="R71" s="54" t="s">
        <v>147</v>
      </c>
      <c r="S71" s="54" t="s">
        <v>407</v>
      </c>
    </row>
    <row r="72" spans="1:19" ht="258.75">
      <c r="A72" s="50">
        <v>5</v>
      </c>
      <c r="B72" s="50" t="s">
        <v>135</v>
      </c>
      <c r="C72" s="50" t="s">
        <v>307</v>
      </c>
      <c r="D72" s="50">
        <v>5134</v>
      </c>
      <c r="E72" s="50" t="s">
        <v>408</v>
      </c>
      <c r="F72" s="50" t="s">
        <v>138</v>
      </c>
      <c r="G72" s="50">
        <v>129.74</v>
      </c>
      <c r="H72" s="50" t="s">
        <v>409</v>
      </c>
      <c r="I72" s="51">
        <v>10000</v>
      </c>
      <c r="J72" s="51">
        <v>20000</v>
      </c>
      <c r="K72" s="51">
        <v>60000</v>
      </c>
      <c r="L72" s="51">
        <v>10000</v>
      </c>
      <c r="M72" s="52">
        <f t="shared" si="2"/>
        <v>100000</v>
      </c>
      <c r="O72" s="52">
        <f t="shared" si="1"/>
        <v>100000</v>
      </c>
      <c r="P72" s="54" t="s">
        <v>410</v>
      </c>
      <c r="Q72" s="54" t="s">
        <v>411</v>
      </c>
      <c r="R72" s="54" t="s">
        <v>412</v>
      </c>
      <c r="S72" s="54" t="s">
        <v>413</v>
      </c>
    </row>
    <row r="73" spans="1:19" ht="230.25" customHeight="1">
      <c r="A73" s="50">
        <v>5</v>
      </c>
      <c r="B73" s="50" t="s">
        <v>135</v>
      </c>
      <c r="C73" s="50" t="s">
        <v>307</v>
      </c>
      <c r="D73" s="50">
        <v>5038</v>
      </c>
      <c r="E73" s="50" t="s">
        <v>414</v>
      </c>
      <c r="F73" s="50" t="s">
        <v>138</v>
      </c>
      <c r="G73" s="50">
        <v>129.24</v>
      </c>
      <c r="H73" s="50" t="s">
        <v>415</v>
      </c>
      <c r="I73" s="51">
        <v>10000</v>
      </c>
      <c r="J73" s="51">
        <v>20000</v>
      </c>
      <c r="K73" s="51">
        <v>60000</v>
      </c>
      <c r="L73" s="51">
        <v>10000</v>
      </c>
      <c r="M73" s="52">
        <f t="shared" si="2"/>
        <v>100000</v>
      </c>
      <c r="O73" s="52">
        <f t="shared" si="1"/>
        <v>100000</v>
      </c>
      <c r="P73" s="54" t="s">
        <v>416</v>
      </c>
      <c r="Q73" s="54" t="s">
        <v>417</v>
      </c>
      <c r="R73" s="54" t="s">
        <v>418</v>
      </c>
      <c r="S73" s="54" t="s">
        <v>419</v>
      </c>
    </row>
    <row r="74" spans="1:19" ht="319.5">
      <c r="A74" s="50">
        <v>5</v>
      </c>
      <c r="B74" s="50" t="s">
        <v>58</v>
      </c>
      <c r="C74" s="50" t="s">
        <v>301</v>
      </c>
      <c r="D74" s="50">
        <v>5284</v>
      </c>
      <c r="E74" s="50" t="s">
        <v>420</v>
      </c>
      <c r="F74" s="50" t="s">
        <v>61</v>
      </c>
      <c r="G74" s="50">
        <v>137.1</v>
      </c>
      <c r="H74" s="50" t="s">
        <v>415</v>
      </c>
      <c r="I74" s="51">
        <v>10000</v>
      </c>
      <c r="J74" s="51">
        <v>20000</v>
      </c>
      <c r="K74" s="51">
        <v>60000</v>
      </c>
      <c r="L74" s="51">
        <v>10000</v>
      </c>
      <c r="M74" s="52">
        <f t="shared" si="2"/>
        <v>100000</v>
      </c>
      <c r="O74" s="52">
        <f t="shared" si="1"/>
        <v>100000</v>
      </c>
      <c r="P74" s="54" t="s">
        <v>421</v>
      </c>
      <c r="Q74" s="54" t="s">
        <v>422</v>
      </c>
      <c r="R74" s="63" t="s">
        <v>423</v>
      </c>
      <c r="S74" s="54" t="s">
        <v>424</v>
      </c>
    </row>
    <row r="75" spans="1:19" ht="321">
      <c r="A75" s="50">
        <v>5</v>
      </c>
      <c r="B75" s="50" t="s">
        <v>396</v>
      </c>
      <c r="C75" s="50" t="s">
        <v>222</v>
      </c>
      <c r="D75" s="50">
        <v>5425</v>
      </c>
      <c r="E75" s="50" t="s">
        <v>425</v>
      </c>
      <c r="F75" s="50" t="s">
        <v>398</v>
      </c>
      <c r="G75" s="50">
        <v>126.52</v>
      </c>
      <c r="H75" s="50" t="s">
        <v>426</v>
      </c>
      <c r="I75" s="51">
        <v>10000</v>
      </c>
      <c r="J75" s="51">
        <v>20000</v>
      </c>
      <c r="K75" s="51">
        <v>60000</v>
      </c>
      <c r="L75" s="51">
        <v>10000</v>
      </c>
      <c r="M75" s="52">
        <f t="shared" si="2"/>
        <v>100000</v>
      </c>
      <c r="O75" s="52">
        <f t="shared" si="1"/>
        <v>100000</v>
      </c>
      <c r="P75" s="57" t="s">
        <v>427</v>
      </c>
      <c r="Q75" s="54" t="s">
        <v>428</v>
      </c>
      <c r="R75" s="63" t="s">
        <v>429</v>
      </c>
      <c r="S75" s="54" t="s">
        <v>430</v>
      </c>
    </row>
    <row r="76" spans="1:19" ht="336">
      <c r="A76" s="50">
        <v>5</v>
      </c>
      <c r="B76" s="50" t="s">
        <v>121</v>
      </c>
      <c r="C76" s="50" t="s">
        <v>181</v>
      </c>
      <c r="D76" s="50">
        <v>5789</v>
      </c>
      <c r="E76" s="50" t="s">
        <v>431</v>
      </c>
      <c r="F76" s="50" t="s">
        <v>124</v>
      </c>
      <c r="G76" s="50">
        <v>103.5</v>
      </c>
      <c r="H76" s="50" t="s">
        <v>426</v>
      </c>
      <c r="I76" s="51">
        <v>10000</v>
      </c>
      <c r="J76" s="51">
        <v>20000</v>
      </c>
      <c r="K76" s="51">
        <v>60000</v>
      </c>
      <c r="L76" s="51">
        <v>10000</v>
      </c>
      <c r="M76" s="52">
        <f t="shared" si="2"/>
        <v>100000</v>
      </c>
      <c r="O76" s="52">
        <f t="shared" si="1"/>
        <v>100000</v>
      </c>
      <c r="P76" s="54" t="s">
        <v>432</v>
      </c>
      <c r="Q76" s="54" t="s">
        <v>433</v>
      </c>
      <c r="R76" s="54" t="s">
        <v>65</v>
      </c>
      <c r="S76" s="54" t="s">
        <v>434</v>
      </c>
    </row>
    <row r="77" spans="1:19" ht="321">
      <c r="A77" s="50">
        <v>5</v>
      </c>
      <c r="B77" s="50" t="s">
        <v>121</v>
      </c>
      <c r="C77" s="50" t="s">
        <v>391</v>
      </c>
      <c r="D77" s="50">
        <v>5091</v>
      </c>
      <c r="E77" s="50" t="s">
        <v>435</v>
      </c>
      <c r="F77" s="50" t="s">
        <v>124</v>
      </c>
      <c r="G77" s="50">
        <v>110.3</v>
      </c>
      <c r="H77" s="50" t="s">
        <v>436</v>
      </c>
      <c r="I77" s="51">
        <v>10000</v>
      </c>
      <c r="J77" s="51">
        <v>20000</v>
      </c>
      <c r="K77" s="51">
        <v>60000</v>
      </c>
      <c r="L77" s="51">
        <v>10000</v>
      </c>
      <c r="M77" s="52">
        <f t="shared" si="2"/>
        <v>100000</v>
      </c>
      <c r="O77" s="52">
        <f t="shared" si="1"/>
        <v>100000</v>
      </c>
      <c r="P77" s="54" t="s">
        <v>291</v>
      </c>
      <c r="Q77" s="54" t="s">
        <v>127</v>
      </c>
      <c r="R77" s="54" t="s">
        <v>65</v>
      </c>
      <c r="S77" s="54" t="s">
        <v>437</v>
      </c>
    </row>
    <row r="78" spans="1:19" ht="303.75">
      <c r="A78" s="50">
        <v>5</v>
      </c>
      <c r="B78" s="50" t="s">
        <v>58</v>
      </c>
      <c r="C78" s="50" t="s">
        <v>301</v>
      </c>
      <c r="D78" s="50">
        <v>5842</v>
      </c>
      <c r="E78" s="50" t="s">
        <v>438</v>
      </c>
      <c r="F78" s="50" t="s">
        <v>439</v>
      </c>
      <c r="G78" s="50">
        <v>135.9</v>
      </c>
      <c r="H78" s="50" t="s">
        <v>440</v>
      </c>
      <c r="I78" s="51">
        <v>10000</v>
      </c>
      <c r="J78" s="51">
        <v>20000</v>
      </c>
      <c r="K78" s="51">
        <v>60000</v>
      </c>
      <c r="L78" s="51">
        <v>10000</v>
      </c>
      <c r="M78" s="52">
        <f t="shared" si="2"/>
        <v>100000</v>
      </c>
      <c r="O78" s="52">
        <f t="shared" si="1"/>
        <v>100000</v>
      </c>
      <c r="P78" s="54" t="s">
        <v>153</v>
      </c>
      <c r="Q78" s="54" t="s">
        <v>441</v>
      </c>
      <c r="R78" s="54" t="s">
        <v>442</v>
      </c>
      <c r="S78" s="54" t="s">
        <v>349</v>
      </c>
    </row>
    <row r="79" spans="1:19" s="69" customFormat="1" ht="336">
      <c r="A79" s="50">
        <v>5</v>
      </c>
      <c r="B79" s="50" t="s">
        <v>135</v>
      </c>
      <c r="C79" s="50" t="s">
        <v>136</v>
      </c>
      <c r="D79" s="50">
        <v>5658</v>
      </c>
      <c r="E79" s="50" t="s">
        <v>443</v>
      </c>
      <c r="F79" s="50" t="s">
        <v>138</v>
      </c>
      <c r="G79" s="50">
        <v>118.04</v>
      </c>
      <c r="H79" s="50" t="s">
        <v>444</v>
      </c>
      <c r="I79" s="51">
        <v>10000</v>
      </c>
      <c r="J79" s="51">
        <v>20000</v>
      </c>
      <c r="K79" s="51">
        <v>60000</v>
      </c>
      <c r="L79" s="51">
        <v>10000</v>
      </c>
      <c r="M79" s="52">
        <f t="shared" si="2"/>
        <v>100000</v>
      </c>
      <c r="N79" s="53"/>
      <c r="O79" s="52">
        <f t="shared" si="1"/>
        <v>100000</v>
      </c>
      <c r="P79" s="57" t="s">
        <v>445</v>
      </c>
      <c r="Q79" s="57" t="s">
        <v>446</v>
      </c>
      <c r="R79" s="57" t="s">
        <v>219</v>
      </c>
      <c r="S79" s="54" t="s">
        <v>447</v>
      </c>
    </row>
    <row r="80" spans="1:19" ht="321">
      <c r="A80" s="50">
        <v>5</v>
      </c>
      <c r="B80" s="50" t="s">
        <v>121</v>
      </c>
      <c r="C80" s="50" t="s">
        <v>181</v>
      </c>
      <c r="D80" s="50">
        <v>5576</v>
      </c>
      <c r="E80" s="50" t="s">
        <v>448</v>
      </c>
      <c r="F80" s="50" t="s">
        <v>124</v>
      </c>
      <c r="G80" s="50">
        <v>108.54</v>
      </c>
      <c r="H80" s="50" t="s">
        <v>449</v>
      </c>
      <c r="I80" s="51">
        <v>10000</v>
      </c>
      <c r="J80" s="51">
        <v>20000</v>
      </c>
      <c r="K80" s="51">
        <v>60000</v>
      </c>
      <c r="L80" s="51">
        <v>10000</v>
      </c>
      <c r="M80" s="52">
        <f t="shared" si="2"/>
        <v>100000</v>
      </c>
      <c r="O80" s="52">
        <f t="shared" si="1"/>
        <v>100000</v>
      </c>
      <c r="P80" s="54" t="s">
        <v>291</v>
      </c>
      <c r="Q80" s="54" t="s">
        <v>127</v>
      </c>
      <c r="R80" s="54" t="s">
        <v>65</v>
      </c>
      <c r="S80" s="54" t="s">
        <v>450</v>
      </c>
    </row>
    <row r="81" spans="1:19" ht="336">
      <c r="A81" s="50">
        <v>5</v>
      </c>
      <c r="B81" s="50" t="s">
        <v>110</v>
      </c>
      <c r="C81" s="50" t="s">
        <v>258</v>
      </c>
      <c r="D81" s="50">
        <v>5660</v>
      </c>
      <c r="E81" s="50" t="s">
        <v>451</v>
      </c>
      <c r="F81" s="50" t="s">
        <v>113</v>
      </c>
      <c r="G81" s="50">
        <v>126.27</v>
      </c>
      <c r="H81" s="50" t="s">
        <v>452</v>
      </c>
      <c r="I81" s="51">
        <v>10000</v>
      </c>
      <c r="J81" s="51">
        <v>20000</v>
      </c>
      <c r="K81" s="51">
        <v>60000</v>
      </c>
      <c r="L81" s="51">
        <v>10000</v>
      </c>
      <c r="M81" s="52">
        <f t="shared" si="2"/>
        <v>100000</v>
      </c>
      <c r="O81" s="52">
        <f t="shared" si="1"/>
        <v>100000</v>
      </c>
      <c r="P81" s="54" t="s">
        <v>453</v>
      </c>
      <c r="Q81" s="57" t="s">
        <v>454</v>
      </c>
      <c r="R81" s="57" t="s">
        <v>133</v>
      </c>
      <c r="S81" s="68" t="s">
        <v>455</v>
      </c>
    </row>
    <row r="82" spans="1:19" ht="336">
      <c r="A82" s="50">
        <v>5</v>
      </c>
      <c r="B82" s="50" t="s">
        <v>110</v>
      </c>
      <c r="C82" s="50" t="s">
        <v>203</v>
      </c>
      <c r="D82" s="50">
        <v>5667</v>
      </c>
      <c r="E82" s="50" t="s">
        <v>456</v>
      </c>
      <c r="F82" s="50" t="s">
        <v>113</v>
      </c>
      <c r="G82" s="50">
        <v>95.5</v>
      </c>
      <c r="H82" s="50" t="s">
        <v>457</v>
      </c>
      <c r="I82" s="51">
        <v>10000</v>
      </c>
      <c r="J82" s="51">
        <v>20000</v>
      </c>
      <c r="K82" s="51">
        <v>60000</v>
      </c>
      <c r="L82" s="51">
        <v>10000</v>
      </c>
      <c r="M82" s="52">
        <f t="shared" si="2"/>
        <v>100000</v>
      </c>
      <c r="O82" s="52">
        <f t="shared" si="1"/>
        <v>100000</v>
      </c>
      <c r="P82" s="54" t="s">
        <v>453</v>
      </c>
      <c r="Q82" s="57" t="s">
        <v>454</v>
      </c>
      <c r="R82" s="57" t="s">
        <v>133</v>
      </c>
      <c r="S82" s="68" t="s">
        <v>458</v>
      </c>
    </row>
    <row r="83" spans="1:19" ht="321">
      <c r="A83" s="50">
        <v>5</v>
      </c>
      <c r="B83" s="50" t="s">
        <v>121</v>
      </c>
      <c r="C83" s="50" t="s">
        <v>181</v>
      </c>
      <c r="D83" s="50">
        <v>5856</v>
      </c>
      <c r="E83" s="50" t="s">
        <v>459</v>
      </c>
      <c r="F83" s="50" t="s">
        <v>124</v>
      </c>
      <c r="G83" s="50">
        <v>95.2</v>
      </c>
      <c r="H83" s="50" t="s">
        <v>457</v>
      </c>
      <c r="I83" s="51">
        <v>10000</v>
      </c>
      <c r="J83" s="51">
        <v>20000</v>
      </c>
      <c r="K83" s="51">
        <v>60000</v>
      </c>
      <c r="L83" s="51">
        <v>10000</v>
      </c>
      <c r="M83" s="52">
        <f t="shared" si="2"/>
        <v>100000</v>
      </c>
      <c r="O83" s="52">
        <f t="shared" si="1"/>
        <v>100000</v>
      </c>
      <c r="P83" s="54" t="s">
        <v>460</v>
      </c>
      <c r="Q83" s="54" t="s">
        <v>127</v>
      </c>
      <c r="R83" s="54" t="s">
        <v>292</v>
      </c>
      <c r="S83" s="54" t="s">
        <v>461</v>
      </c>
    </row>
    <row r="84" spans="1:19" ht="321">
      <c r="A84" s="50">
        <v>5</v>
      </c>
      <c r="B84" s="50" t="s">
        <v>121</v>
      </c>
      <c r="C84" s="50" t="s">
        <v>181</v>
      </c>
      <c r="D84" s="50">
        <v>5368</v>
      </c>
      <c r="E84" s="50" t="s">
        <v>462</v>
      </c>
      <c r="F84" s="50" t="s">
        <v>124</v>
      </c>
      <c r="G84" s="50">
        <v>105.14</v>
      </c>
      <c r="H84" s="50" t="s">
        <v>463</v>
      </c>
      <c r="I84" s="51">
        <v>10000</v>
      </c>
      <c r="J84" s="51">
        <v>20000</v>
      </c>
      <c r="K84" s="51">
        <v>60000</v>
      </c>
      <c r="L84" s="51">
        <v>10000</v>
      </c>
      <c r="M84" s="52">
        <f t="shared" si="2"/>
        <v>100000</v>
      </c>
      <c r="O84" s="52">
        <f t="shared" si="1"/>
        <v>100000</v>
      </c>
      <c r="P84" s="54" t="s">
        <v>464</v>
      </c>
      <c r="Q84" s="54" t="s">
        <v>127</v>
      </c>
      <c r="R84" s="54" t="s">
        <v>65</v>
      </c>
      <c r="S84" s="54" t="s">
        <v>465</v>
      </c>
    </row>
    <row r="85" spans="1:19" ht="273">
      <c r="A85" s="50">
        <v>5</v>
      </c>
      <c r="B85" s="50" t="s">
        <v>135</v>
      </c>
      <c r="C85" s="50" t="s">
        <v>314</v>
      </c>
      <c r="D85" s="50">
        <v>5150</v>
      </c>
      <c r="E85" s="50" t="s">
        <v>466</v>
      </c>
      <c r="F85" s="50" t="s">
        <v>138</v>
      </c>
      <c r="G85" s="50">
        <v>94.2</v>
      </c>
      <c r="H85" s="50" t="s">
        <v>467</v>
      </c>
      <c r="I85" s="51">
        <v>10000</v>
      </c>
      <c r="J85" s="51">
        <v>20000</v>
      </c>
      <c r="K85" s="51">
        <v>60000</v>
      </c>
      <c r="L85" s="51">
        <v>10000</v>
      </c>
      <c r="M85" s="52">
        <f t="shared" si="2"/>
        <v>100000</v>
      </c>
      <c r="O85" s="52">
        <f t="shared" si="1"/>
        <v>100000</v>
      </c>
      <c r="P85" s="54" t="s">
        <v>468</v>
      </c>
      <c r="Q85" s="57" t="s">
        <v>446</v>
      </c>
      <c r="R85" s="54" t="s">
        <v>469</v>
      </c>
      <c r="S85" s="57" t="s">
        <v>470</v>
      </c>
    </row>
    <row r="86" spans="1:19" ht="336">
      <c r="A86" s="50">
        <v>5</v>
      </c>
      <c r="B86" s="50" t="s">
        <v>110</v>
      </c>
      <c r="C86" s="50" t="s">
        <v>350</v>
      </c>
      <c r="D86" s="50">
        <v>5756</v>
      </c>
      <c r="E86" s="50" t="s">
        <v>471</v>
      </c>
      <c r="F86" s="50" t="s">
        <v>113</v>
      </c>
      <c r="G86" s="50">
        <v>104</v>
      </c>
      <c r="H86" s="50" t="s">
        <v>472</v>
      </c>
      <c r="I86" s="51">
        <v>10000</v>
      </c>
      <c r="J86" s="51">
        <v>20000</v>
      </c>
      <c r="K86" s="51">
        <v>60000</v>
      </c>
      <c r="L86" s="51">
        <v>10000</v>
      </c>
      <c r="M86" s="52">
        <f t="shared" si="2"/>
        <v>100000</v>
      </c>
      <c r="O86" s="52">
        <f t="shared" si="1"/>
        <v>100000</v>
      </c>
      <c r="P86" s="54" t="s">
        <v>473</v>
      </c>
      <c r="Q86" s="57" t="s">
        <v>474</v>
      </c>
      <c r="R86" s="57" t="s">
        <v>133</v>
      </c>
      <c r="S86" s="68" t="s">
        <v>475</v>
      </c>
    </row>
    <row r="87" spans="1:19" ht="336">
      <c r="A87" s="50">
        <v>5</v>
      </c>
      <c r="B87" s="50" t="s">
        <v>110</v>
      </c>
      <c r="C87" s="50" t="s">
        <v>350</v>
      </c>
      <c r="D87" s="50">
        <v>5002</v>
      </c>
      <c r="E87" s="50" t="s">
        <v>476</v>
      </c>
      <c r="F87" s="50" t="s">
        <v>113</v>
      </c>
      <c r="G87" s="50">
        <v>80.900000000000006</v>
      </c>
      <c r="H87" s="50" t="s">
        <v>477</v>
      </c>
      <c r="I87" s="51">
        <v>10000</v>
      </c>
      <c r="J87" s="51">
        <v>20000</v>
      </c>
      <c r="K87" s="51">
        <v>60000</v>
      </c>
      <c r="L87" s="51">
        <v>10000</v>
      </c>
      <c r="M87" s="52">
        <f t="shared" si="2"/>
        <v>100000</v>
      </c>
      <c r="O87" s="52">
        <f t="shared" si="1"/>
        <v>100000</v>
      </c>
      <c r="P87" s="54" t="s">
        <v>478</v>
      </c>
      <c r="Q87" s="57" t="s">
        <v>479</v>
      </c>
      <c r="R87" s="57" t="s">
        <v>133</v>
      </c>
      <c r="S87" s="68" t="s">
        <v>480</v>
      </c>
    </row>
    <row r="88" spans="1:19" s="62" customFormat="1" ht="351">
      <c r="A88" s="59">
        <v>5</v>
      </c>
      <c r="B88" s="59" t="s">
        <v>221</v>
      </c>
      <c r="C88" s="59" t="s">
        <v>222</v>
      </c>
      <c r="D88" s="59">
        <v>5670</v>
      </c>
      <c r="E88" s="59" t="s">
        <v>481</v>
      </c>
      <c r="F88" s="59" t="s">
        <v>482</v>
      </c>
      <c r="G88" s="59">
        <v>100.12</v>
      </c>
      <c r="H88" s="59" t="s">
        <v>483</v>
      </c>
      <c r="I88" s="51">
        <v>10000</v>
      </c>
      <c r="J88" s="51">
        <v>20000</v>
      </c>
      <c r="K88" s="51">
        <v>60000</v>
      </c>
      <c r="L88" s="51">
        <v>10000</v>
      </c>
      <c r="M88" s="52">
        <f t="shared" si="2"/>
        <v>100000</v>
      </c>
      <c r="N88" s="53"/>
      <c r="O88" s="52">
        <f t="shared" si="1"/>
        <v>100000</v>
      </c>
      <c r="P88" s="61" t="s">
        <v>484</v>
      </c>
      <c r="Q88" s="61" t="s">
        <v>485</v>
      </c>
      <c r="R88" s="61" t="s">
        <v>486</v>
      </c>
      <c r="S88" s="61" t="s">
        <v>487</v>
      </c>
    </row>
    <row r="89" spans="1:19" ht="243.75">
      <c r="A89" s="50">
        <v>5</v>
      </c>
      <c r="B89" s="50" t="s">
        <v>135</v>
      </c>
      <c r="C89" s="50" t="s">
        <v>307</v>
      </c>
      <c r="D89" s="50">
        <v>5887</v>
      </c>
      <c r="E89" s="50" t="s">
        <v>488</v>
      </c>
      <c r="F89" s="50" t="s">
        <v>138</v>
      </c>
      <c r="G89" s="50">
        <v>111.24</v>
      </c>
      <c r="H89" s="50" t="s">
        <v>483</v>
      </c>
      <c r="I89" s="51">
        <v>10000</v>
      </c>
      <c r="J89" s="51">
        <v>20000</v>
      </c>
      <c r="K89" s="51">
        <v>60000</v>
      </c>
      <c r="L89" s="51">
        <v>10000</v>
      </c>
      <c r="M89" s="52">
        <f t="shared" si="2"/>
        <v>100000</v>
      </c>
      <c r="O89" s="52">
        <f t="shared" si="1"/>
        <v>100000</v>
      </c>
      <c r="P89" s="54" t="s">
        <v>468</v>
      </c>
      <c r="Q89" s="54" t="s">
        <v>489</v>
      </c>
      <c r="R89" s="54" t="s">
        <v>490</v>
      </c>
      <c r="S89" s="54" t="s">
        <v>491</v>
      </c>
    </row>
    <row r="90" spans="1:19" ht="243.75">
      <c r="A90" s="50">
        <v>5</v>
      </c>
      <c r="B90" s="50" t="s">
        <v>221</v>
      </c>
      <c r="C90" s="50" t="s">
        <v>338</v>
      </c>
      <c r="D90" s="50">
        <v>5890</v>
      </c>
      <c r="E90" s="50" t="s">
        <v>492</v>
      </c>
      <c r="F90" s="50" t="s">
        <v>224</v>
      </c>
      <c r="G90" s="50">
        <v>89.5</v>
      </c>
      <c r="H90" s="50" t="s">
        <v>493</v>
      </c>
      <c r="I90" s="51">
        <v>10000</v>
      </c>
      <c r="J90" s="51">
        <v>20000</v>
      </c>
      <c r="K90" s="51">
        <v>60000</v>
      </c>
      <c r="L90" s="51">
        <v>10000</v>
      </c>
      <c r="M90" s="52">
        <f t="shared" si="2"/>
        <v>100000</v>
      </c>
      <c r="O90" s="52">
        <f t="shared" si="1"/>
        <v>100000</v>
      </c>
      <c r="P90" s="54" t="s">
        <v>494</v>
      </c>
      <c r="Q90" s="54" t="s">
        <v>495</v>
      </c>
      <c r="R90" s="54" t="s">
        <v>496</v>
      </c>
      <c r="S90" s="61" t="s">
        <v>497</v>
      </c>
    </row>
    <row r="91" spans="1:19" ht="321">
      <c r="A91" s="50">
        <v>5</v>
      </c>
      <c r="B91" s="50" t="s">
        <v>121</v>
      </c>
      <c r="C91" s="50" t="s">
        <v>391</v>
      </c>
      <c r="D91" s="50">
        <v>5101</v>
      </c>
      <c r="E91" s="50" t="s">
        <v>498</v>
      </c>
      <c r="F91" s="50" t="s">
        <v>124</v>
      </c>
      <c r="G91" s="50">
        <v>96.8</v>
      </c>
      <c r="H91" s="50" t="s">
        <v>499</v>
      </c>
      <c r="I91" s="51">
        <v>10000</v>
      </c>
      <c r="J91" s="51">
        <v>20000</v>
      </c>
      <c r="K91" s="51">
        <v>60000</v>
      </c>
      <c r="L91" s="51">
        <v>10000</v>
      </c>
      <c r="M91" s="52">
        <f t="shared" si="2"/>
        <v>100000</v>
      </c>
      <c r="O91" s="52">
        <f t="shared" si="1"/>
        <v>100000</v>
      </c>
      <c r="P91" s="54" t="s">
        <v>460</v>
      </c>
      <c r="Q91" s="54" t="s">
        <v>127</v>
      </c>
      <c r="R91" s="54" t="s">
        <v>65</v>
      </c>
      <c r="S91" s="54" t="s">
        <v>500</v>
      </c>
    </row>
    <row r="92" spans="1:19" ht="290.25">
      <c r="A92" s="50">
        <v>5</v>
      </c>
      <c r="B92" s="50" t="s">
        <v>58</v>
      </c>
      <c r="C92" s="50" t="s">
        <v>301</v>
      </c>
      <c r="D92" s="50">
        <v>5138</v>
      </c>
      <c r="E92" s="50" t="s">
        <v>501</v>
      </c>
      <c r="F92" s="50" t="s">
        <v>61</v>
      </c>
      <c r="G92" s="50">
        <v>109.8</v>
      </c>
      <c r="H92" s="50" t="s">
        <v>502</v>
      </c>
      <c r="I92" s="51">
        <v>10000</v>
      </c>
      <c r="J92" s="51">
        <v>20000</v>
      </c>
      <c r="K92" s="51">
        <v>60000</v>
      </c>
      <c r="L92" s="51">
        <v>10000</v>
      </c>
      <c r="M92" s="52">
        <f t="shared" si="2"/>
        <v>100000</v>
      </c>
      <c r="O92" s="52">
        <f t="shared" si="1"/>
        <v>100000</v>
      </c>
      <c r="P92" s="54" t="s">
        <v>255</v>
      </c>
      <c r="Q92" s="54" t="s">
        <v>441</v>
      </c>
      <c r="R92" s="54" t="s">
        <v>155</v>
      </c>
      <c r="S92" s="54" t="s">
        <v>503</v>
      </c>
    </row>
    <row r="93" spans="1:19" ht="365.25">
      <c r="A93" s="50">
        <v>5</v>
      </c>
      <c r="B93" s="50" t="s">
        <v>110</v>
      </c>
      <c r="C93" s="50" t="s">
        <v>258</v>
      </c>
      <c r="D93" s="50">
        <v>5652</v>
      </c>
      <c r="E93" s="50" t="s">
        <v>504</v>
      </c>
      <c r="F93" s="50" t="s">
        <v>113</v>
      </c>
      <c r="G93" s="50">
        <v>94.7</v>
      </c>
      <c r="H93" s="50" t="s">
        <v>505</v>
      </c>
      <c r="I93" s="51">
        <v>10000</v>
      </c>
      <c r="J93" s="51">
        <v>20000</v>
      </c>
      <c r="K93" s="51">
        <v>60000</v>
      </c>
      <c r="L93" s="51">
        <v>10000</v>
      </c>
      <c r="M93" s="52">
        <f t="shared" si="2"/>
        <v>100000</v>
      </c>
      <c r="O93" s="52">
        <f t="shared" si="1"/>
        <v>100000</v>
      </c>
      <c r="P93" s="54" t="s">
        <v>506</v>
      </c>
      <c r="Q93" s="57" t="s">
        <v>507</v>
      </c>
      <c r="R93" s="57" t="s">
        <v>133</v>
      </c>
      <c r="S93" s="68" t="s">
        <v>508</v>
      </c>
    </row>
    <row r="94" spans="1:19" s="69" customFormat="1" ht="336">
      <c r="A94" s="50">
        <v>5</v>
      </c>
      <c r="B94" s="50" t="s">
        <v>135</v>
      </c>
      <c r="C94" s="50" t="s">
        <v>314</v>
      </c>
      <c r="D94" s="50">
        <v>5310</v>
      </c>
      <c r="E94" s="50" t="s">
        <v>509</v>
      </c>
      <c r="F94" s="50" t="s">
        <v>138</v>
      </c>
      <c r="G94" s="50">
        <v>81.400000000000006</v>
      </c>
      <c r="H94" s="50" t="s">
        <v>510</v>
      </c>
      <c r="I94" s="51">
        <v>10000</v>
      </c>
      <c r="J94" s="51">
        <v>20000</v>
      </c>
      <c r="K94" s="51">
        <v>60000</v>
      </c>
      <c r="L94" s="51">
        <v>10000</v>
      </c>
      <c r="M94" s="52">
        <f t="shared" si="2"/>
        <v>100000</v>
      </c>
      <c r="N94" s="53"/>
      <c r="O94" s="52">
        <f t="shared" si="1"/>
        <v>100000</v>
      </c>
      <c r="P94" s="57" t="s">
        <v>511</v>
      </c>
      <c r="Q94" s="57" t="s">
        <v>512</v>
      </c>
      <c r="R94" s="57" t="s">
        <v>513</v>
      </c>
      <c r="S94" s="54" t="s">
        <v>514</v>
      </c>
    </row>
    <row r="95" spans="1:19" ht="290.25">
      <c r="A95" s="50">
        <v>5</v>
      </c>
      <c r="B95" s="50" t="s">
        <v>58</v>
      </c>
      <c r="C95" s="50" t="s">
        <v>59</v>
      </c>
      <c r="D95" s="50">
        <v>5306</v>
      </c>
      <c r="E95" s="50" t="s">
        <v>515</v>
      </c>
      <c r="F95" s="50" t="s">
        <v>61</v>
      </c>
      <c r="G95" s="50">
        <v>90.9</v>
      </c>
      <c r="H95" s="50" t="s">
        <v>516</v>
      </c>
      <c r="I95" s="51">
        <v>10000</v>
      </c>
      <c r="J95" s="51">
        <v>20000</v>
      </c>
      <c r="K95" s="51">
        <v>60000</v>
      </c>
      <c r="L95" s="51">
        <v>10000</v>
      </c>
      <c r="M95" s="52">
        <f t="shared" si="2"/>
        <v>100000</v>
      </c>
      <c r="O95" s="52">
        <f t="shared" si="1"/>
        <v>100000</v>
      </c>
      <c r="P95" s="54" t="s">
        <v>255</v>
      </c>
      <c r="Q95" s="54" t="s">
        <v>441</v>
      </c>
      <c r="R95" s="54" t="s">
        <v>155</v>
      </c>
      <c r="S95" s="54" t="s">
        <v>517</v>
      </c>
    </row>
    <row r="96" spans="1:19" ht="244.5">
      <c r="A96" s="50">
        <v>5</v>
      </c>
      <c r="B96" s="50" t="s">
        <v>58</v>
      </c>
      <c r="C96" s="50" t="s">
        <v>59</v>
      </c>
      <c r="D96" s="50">
        <v>5113</v>
      </c>
      <c r="E96" s="50" t="s">
        <v>518</v>
      </c>
      <c r="F96" s="50" t="s">
        <v>61</v>
      </c>
      <c r="G96" s="50">
        <v>86.9</v>
      </c>
      <c r="H96" s="50" t="s">
        <v>264</v>
      </c>
      <c r="I96" s="51">
        <v>10000</v>
      </c>
      <c r="J96" s="51">
        <v>20000</v>
      </c>
      <c r="K96" s="51">
        <v>60000</v>
      </c>
      <c r="L96" s="51">
        <v>10000</v>
      </c>
      <c r="M96" s="52">
        <f t="shared" si="2"/>
        <v>100000</v>
      </c>
      <c r="O96" s="52">
        <f t="shared" si="1"/>
        <v>100000</v>
      </c>
      <c r="P96" s="54" t="s">
        <v>232</v>
      </c>
      <c r="Q96" s="54" t="s">
        <v>441</v>
      </c>
      <c r="R96" s="54" t="s">
        <v>155</v>
      </c>
      <c r="S96" s="54" t="s">
        <v>349</v>
      </c>
    </row>
    <row r="97" spans="1:20" ht="300.75" customHeight="1">
      <c r="A97" s="50">
        <v>5</v>
      </c>
      <c r="B97" s="50" t="s">
        <v>135</v>
      </c>
      <c r="C97" s="50" t="s">
        <v>314</v>
      </c>
      <c r="D97" s="50">
        <v>5315</v>
      </c>
      <c r="E97" s="50" t="s">
        <v>519</v>
      </c>
      <c r="F97" s="50" t="s">
        <v>138</v>
      </c>
      <c r="G97" s="50">
        <v>114.2</v>
      </c>
      <c r="H97" s="50" t="s">
        <v>520</v>
      </c>
      <c r="I97" s="51">
        <v>10000</v>
      </c>
      <c r="J97" s="51">
        <v>20000</v>
      </c>
      <c r="K97" s="51">
        <v>60000</v>
      </c>
      <c r="L97" s="51">
        <v>15000</v>
      </c>
      <c r="M97" s="52">
        <f t="shared" si="2"/>
        <v>105000</v>
      </c>
      <c r="O97" s="52">
        <v>100000</v>
      </c>
      <c r="P97" s="54" t="s">
        <v>521</v>
      </c>
      <c r="Q97" s="54" t="s">
        <v>522</v>
      </c>
      <c r="R97" s="70" t="s">
        <v>523</v>
      </c>
      <c r="S97" s="54" t="s">
        <v>524</v>
      </c>
      <c r="T97" s="71"/>
    </row>
    <row r="98" spans="1:20" ht="320.25">
      <c r="A98" s="50">
        <v>5</v>
      </c>
      <c r="B98" s="50" t="s">
        <v>135</v>
      </c>
      <c r="C98" s="50" t="s">
        <v>307</v>
      </c>
      <c r="D98" s="50">
        <v>5854</v>
      </c>
      <c r="E98" s="50" t="s">
        <v>525</v>
      </c>
      <c r="F98" s="50" t="s">
        <v>526</v>
      </c>
      <c r="G98" s="50">
        <v>150.04</v>
      </c>
      <c r="H98" s="50" t="s">
        <v>369</v>
      </c>
      <c r="I98" s="51">
        <v>10000</v>
      </c>
      <c r="J98" s="51">
        <v>20000</v>
      </c>
      <c r="K98" s="51">
        <v>60000</v>
      </c>
      <c r="L98" s="51">
        <v>15000</v>
      </c>
      <c r="M98" s="52">
        <f t="shared" si="2"/>
        <v>105000</v>
      </c>
      <c r="O98" s="52">
        <v>100000</v>
      </c>
      <c r="P98" s="54" t="s">
        <v>527</v>
      </c>
      <c r="Q98" s="54" t="s">
        <v>528</v>
      </c>
      <c r="R98" s="54" t="s">
        <v>529</v>
      </c>
      <c r="S98" s="54" t="s">
        <v>530</v>
      </c>
    </row>
    <row r="99" spans="1:20" ht="304.5">
      <c r="A99" s="50">
        <v>5</v>
      </c>
      <c r="B99" s="50" t="s">
        <v>135</v>
      </c>
      <c r="C99" s="50" t="s">
        <v>294</v>
      </c>
      <c r="D99" s="50">
        <v>5647</v>
      </c>
      <c r="E99" s="50" t="s">
        <v>531</v>
      </c>
      <c r="F99" s="50" t="s">
        <v>526</v>
      </c>
      <c r="G99" s="50">
        <v>127.24</v>
      </c>
      <c r="H99" s="50" t="s">
        <v>375</v>
      </c>
      <c r="I99" s="51">
        <v>10000</v>
      </c>
      <c r="J99" s="51">
        <v>20000</v>
      </c>
      <c r="K99" s="51">
        <v>60000</v>
      </c>
      <c r="L99" s="51">
        <v>15000</v>
      </c>
      <c r="M99" s="52">
        <f t="shared" si="2"/>
        <v>105000</v>
      </c>
      <c r="O99" s="52">
        <v>100000</v>
      </c>
      <c r="P99" s="54" t="s">
        <v>532</v>
      </c>
      <c r="Q99" s="54" t="s">
        <v>533</v>
      </c>
      <c r="R99" s="54" t="s">
        <v>534</v>
      </c>
      <c r="S99" s="54" t="s">
        <v>535</v>
      </c>
    </row>
    <row r="100" spans="1:20" ht="321">
      <c r="A100" s="50">
        <v>5</v>
      </c>
      <c r="B100" s="50" t="s">
        <v>121</v>
      </c>
      <c r="C100" s="50" t="s">
        <v>391</v>
      </c>
      <c r="D100" s="50">
        <v>5034</v>
      </c>
      <c r="E100" s="50" t="s">
        <v>536</v>
      </c>
      <c r="F100" s="50" t="s">
        <v>124</v>
      </c>
      <c r="G100" s="50">
        <v>107.4</v>
      </c>
      <c r="H100" s="50" t="s">
        <v>537</v>
      </c>
      <c r="I100" s="51">
        <v>10000</v>
      </c>
      <c r="J100" s="51">
        <v>25000</v>
      </c>
      <c r="K100" s="51">
        <v>60000</v>
      </c>
      <c r="L100" s="51">
        <v>10000</v>
      </c>
      <c r="M100" s="52">
        <f t="shared" si="2"/>
        <v>105000</v>
      </c>
      <c r="O100" s="52">
        <v>120000</v>
      </c>
      <c r="P100" s="54" t="s">
        <v>538</v>
      </c>
      <c r="Q100" s="54" t="s">
        <v>127</v>
      </c>
      <c r="R100" s="54" t="s">
        <v>65</v>
      </c>
      <c r="S100" s="54" t="s">
        <v>539</v>
      </c>
    </row>
    <row r="101" spans="1:20" ht="275.25">
      <c r="A101" s="50">
        <v>5</v>
      </c>
      <c r="B101" s="50" t="s">
        <v>58</v>
      </c>
      <c r="C101" s="50" t="s">
        <v>301</v>
      </c>
      <c r="D101" s="50">
        <v>5234</v>
      </c>
      <c r="E101" s="50" t="s">
        <v>540</v>
      </c>
      <c r="F101" s="50" t="s">
        <v>61</v>
      </c>
      <c r="G101" s="50">
        <v>170.3</v>
      </c>
      <c r="H101" s="50" t="s">
        <v>541</v>
      </c>
      <c r="I101" s="51">
        <v>10000</v>
      </c>
      <c r="J101" s="51">
        <v>25000</v>
      </c>
      <c r="K101" s="51">
        <v>60000</v>
      </c>
      <c r="L101" s="51">
        <v>15000</v>
      </c>
      <c r="M101" s="52">
        <f t="shared" si="2"/>
        <v>110000</v>
      </c>
      <c r="O101" s="52">
        <v>120000</v>
      </c>
      <c r="P101" s="54" t="s">
        <v>542</v>
      </c>
      <c r="Q101" s="54" t="s">
        <v>543</v>
      </c>
      <c r="R101" s="54" t="s">
        <v>544</v>
      </c>
      <c r="S101" s="54" t="s">
        <v>545</v>
      </c>
    </row>
    <row r="102" spans="1:20" ht="323.25" customHeight="1">
      <c r="A102" s="50">
        <v>5</v>
      </c>
      <c r="B102" s="50" t="s">
        <v>546</v>
      </c>
      <c r="C102" s="50" t="s">
        <v>547</v>
      </c>
      <c r="D102" s="50">
        <v>5172</v>
      </c>
      <c r="E102" s="50" t="s">
        <v>548</v>
      </c>
      <c r="F102" s="50" t="s">
        <v>549</v>
      </c>
      <c r="G102" s="50">
        <v>280.49</v>
      </c>
      <c r="H102" s="50" t="s">
        <v>550</v>
      </c>
      <c r="I102" s="51">
        <v>10000</v>
      </c>
      <c r="J102" s="51">
        <v>20000</v>
      </c>
      <c r="K102" s="51">
        <v>70000</v>
      </c>
      <c r="L102" s="51">
        <v>15000</v>
      </c>
      <c r="M102" s="52">
        <f t="shared" si="2"/>
        <v>115000</v>
      </c>
      <c r="O102" s="52">
        <v>120000</v>
      </c>
      <c r="P102" s="54" t="s">
        <v>551</v>
      </c>
      <c r="Q102" s="54" t="s">
        <v>552</v>
      </c>
      <c r="R102" s="54" t="s">
        <v>553</v>
      </c>
      <c r="S102" s="54" t="s">
        <v>554</v>
      </c>
    </row>
    <row r="103" spans="1:20" ht="288" customHeight="1">
      <c r="A103" s="50">
        <v>5</v>
      </c>
      <c r="B103" s="50" t="s">
        <v>121</v>
      </c>
      <c r="C103" s="50" t="s">
        <v>288</v>
      </c>
      <c r="D103" s="50">
        <v>5847</v>
      </c>
      <c r="E103" s="50" t="s">
        <v>555</v>
      </c>
      <c r="F103" s="50" t="s">
        <v>124</v>
      </c>
      <c r="G103" s="50">
        <v>148.9</v>
      </c>
      <c r="H103" s="50" t="s">
        <v>316</v>
      </c>
      <c r="I103" s="51">
        <v>10000</v>
      </c>
      <c r="J103" s="51">
        <v>25000</v>
      </c>
      <c r="K103" s="51">
        <v>70000</v>
      </c>
      <c r="L103" s="51">
        <v>10000</v>
      </c>
      <c r="M103" s="52">
        <f t="shared" si="2"/>
        <v>115000</v>
      </c>
      <c r="O103" s="52">
        <v>120000</v>
      </c>
      <c r="P103" s="54" t="s">
        <v>556</v>
      </c>
      <c r="Q103" s="54" t="s">
        <v>557</v>
      </c>
      <c r="R103" s="54" t="s">
        <v>558</v>
      </c>
      <c r="S103" s="54" t="s">
        <v>559</v>
      </c>
    </row>
    <row r="104" spans="1:20" ht="281.25" customHeight="1">
      <c r="A104" s="50">
        <v>5</v>
      </c>
      <c r="B104" s="50" t="s">
        <v>121</v>
      </c>
      <c r="C104" s="50" t="s">
        <v>391</v>
      </c>
      <c r="D104" s="50">
        <v>5364</v>
      </c>
      <c r="E104" s="50" t="s">
        <v>560</v>
      </c>
      <c r="F104" s="50" t="s">
        <v>124</v>
      </c>
      <c r="G104" s="50">
        <v>124.9</v>
      </c>
      <c r="H104" s="50" t="s">
        <v>561</v>
      </c>
      <c r="I104" s="51">
        <v>10000</v>
      </c>
      <c r="J104" s="51">
        <v>25000</v>
      </c>
      <c r="K104" s="51">
        <v>70000</v>
      </c>
      <c r="L104" s="51">
        <v>10000</v>
      </c>
      <c r="M104" s="52">
        <f t="shared" si="2"/>
        <v>115000</v>
      </c>
      <c r="O104" s="52">
        <v>120000</v>
      </c>
      <c r="P104" s="54" t="s">
        <v>562</v>
      </c>
      <c r="Q104" s="54" t="s">
        <v>563</v>
      </c>
      <c r="R104" s="54" t="s">
        <v>564</v>
      </c>
      <c r="S104" s="54" t="s">
        <v>565</v>
      </c>
    </row>
    <row r="105" spans="1:20" ht="298.5" customHeight="1">
      <c r="A105" s="50">
        <v>5</v>
      </c>
      <c r="B105" s="50" t="s">
        <v>221</v>
      </c>
      <c r="C105" s="50" t="s">
        <v>566</v>
      </c>
      <c r="D105" s="50">
        <v>5736</v>
      </c>
      <c r="E105" s="50" t="s">
        <v>567</v>
      </c>
      <c r="F105" s="50" t="s">
        <v>224</v>
      </c>
      <c r="G105" s="50">
        <v>190.6</v>
      </c>
      <c r="H105" s="50" t="s">
        <v>568</v>
      </c>
      <c r="I105" s="51">
        <v>10000</v>
      </c>
      <c r="J105" s="51">
        <v>25000</v>
      </c>
      <c r="K105" s="51">
        <v>70000</v>
      </c>
      <c r="L105" s="51">
        <v>15000</v>
      </c>
      <c r="M105" s="52">
        <f t="shared" si="2"/>
        <v>120000</v>
      </c>
      <c r="O105" s="52">
        <f t="shared" ref="O105:O110" si="3">+I105+J105+K105+L105</f>
        <v>120000</v>
      </c>
      <c r="P105" s="54" t="s">
        <v>569</v>
      </c>
      <c r="Q105" s="54" t="s">
        <v>570</v>
      </c>
      <c r="R105" s="54" t="s">
        <v>312</v>
      </c>
      <c r="S105" s="54" t="s">
        <v>571</v>
      </c>
    </row>
    <row r="106" spans="1:20" ht="366">
      <c r="A106" s="50">
        <v>5</v>
      </c>
      <c r="B106" s="50" t="s">
        <v>396</v>
      </c>
      <c r="C106" s="50" t="s">
        <v>572</v>
      </c>
      <c r="D106" s="50">
        <v>5585</v>
      </c>
      <c r="E106" s="50" t="s">
        <v>573</v>
      </c>
      <c r="F106" s="50" t="s">
        <v>398</v>
      </c>
      <c r="G106" s="50">
        <v>219.7</v>
      </c>
      <c r="H106" s="50" t="s">
        <v>574</v>
      </c>
      <c r="I106" s="51">
        <v>10000</v>
      </c>
      <c r="J106" s="51">
        <v>25000</v>
      </c>
      <c r="K106" s="51">
        <v>70000</v>
      </c>
      <c r="L106" s="51">
        <v>15000</v>
      </c>
      <c r="M106" s="52">
        <f t="shared" si="2"/>
        <v>120000</v>
      </c>
      <c r="O106" s="52">
        <f t="shared" si="3"/>
        <v>120000</v>
      </c>
      <c r="P106" s="54" t="s">
        <v>575</v>
      </c>
      <c r="Q106" s="54" t="s">
        <v>576</v>
      </c>
      <c r="R106" s="54" t="s">
        <v>577</v>
      </c>
      <c r="S106" s="54" t="s">
        <v>578</v>
      </c>
    </row>
    <row r="107" spans="1:20" ht="324" customHeight="1">
      <c r="A107" s="50">
        <v>5</v>
      </c>
      <c r="B107" s="50" t="s">
        <v>546</v>
      </c>
      <c r="C107" s="50" t="s">
        <v>547</v>
      </c>
      <c r="D107" s="50">
        <v>5147</v>
      </c>
      <c r="E107" s="50" t="s">
        <v>579</v>
      </c>
      <c r="F107" s="50" t="s">
        <v>549</v>
      </c>
      <c r="G107" s="50">
        <v>289.33</v>
      </c>
      <c r="H107" s="50" t="s">
        <v>580</v>
      </c>
      <c r="I107" s="51">
        <v>10000</v>
      </c>
      <c r="J107" s="51">
        <v>25000</v>
      </c>
      <c r="K107" s="51">
        <v>70000</v>
      </c>
      <c r="L107" s="51">
        <v>15000</v>
      </c>
      <c r="M107" s="52">
        <f t="shared" si="2"/>
        <v>120000</v>
      </c>
      <c r="O107" s="52">
        <f t="shared" si="3"/>
        <v>120000</v>
      </c>
      <c r="P107" s="54" t="s">
        <v>581</v>
      </c>
      <c r="Q107" s="54" t="s">
        <v>582</v>
      </c>
      <c r="R107" s="54" t="s">
        <v>583</v>
      </c>
      <c r="S107" s="72" t="s">
        <v>584</v>
      </c>
    </row>
    <row r="108" spans="1:20" ht="335.25">
      <c r="A108" s="50">
        <v>5</v>
      </c>
      <c r="B108" s="50" t="s">
        <v>221</v>
      </c>
      <c r="C108" s="50" t="s">
        <v>566</v>
      </c>
      <c r="D108" s="50">
        <v>5604</v>
      </c>
      <c r="E108" s="50" t="s">
        <v>585</v>
      </c>
      <c r="F108" s="50" t="s">
        <v>224</v>
      </c>
      <c r="G108" s="50">
        <v>181.6</v>
      </c>
      <c r="H108" s="50" t="s">
        <v>586</v>
      </c>
      <c r="I108" s="51">
        <v>10000</v>
      </c>
      <c r="J108" s="51">
        <v>25000</v>
      </c>
      <c r="K108" s="51">
        <v>70000</v>
      </c>
      <c r="L108" s="51">
        <v>15000</v>
      </c>
      <c r="M108" s="52">
        <f t="shared" si="2"/>
        <v>120000</v>
      </c>
      <c r="O108" s="52">
        <f t="shared" si="3"/>
        <v>120000</v>
      </c>
      <c r="P108" s="54" t="s">
        <v>587</v>
      </c>
      <c r="Q108" s="54" t="s">
        <v>588</v>
      </c>
      <c r="R108" s="54" t="s">
        <v>589</v>
      </c>
      <c r="S108" s="54" t="s">
        <v>590</v>
      </c>
    </row>
    <row r="109" spans="1:20" ht="298.5" customHeight="1">
      <c r="A109" s="50">
        <v>5</v>
      </c>
      <c r="B109" s="50" t="s">
        <v>396</v>
      </c>
      <c r="C109" s="50" t="s">
        <v>572</v>
      </c>
      <c r="D109" s="50">
        <v>5591</v>
      </c>
      <c r="E109" s="50" t="s">
        <v>591</v>
      </c>
      <c r="F109" s="50" t="s">
        <v>398</v>
      </c>
      <c r="G109" s="50">
        <v>179.1</v>
      </c>
      <c r="H109" s="50" t="s">
        <v>592</v>
      </c>
      <c r="I109" s="51">
        <v>10000</v>
      </c>
      <c r="J109" s="51">
        <v>25000</v>
      </c>
      <c r="K109" s="51">
        <v>70000</v>
      </c>
      <c r="L109" s="51">
        <v>15000</v>
      </c>
      <c r="M109" s="52">
        <f t="shared" si="2"/>
        <v>120000</v>
      </c>
      <c r="O109" s="52">
        <f t="shared" si="3"/>
        <v>120000</v>
      </c>
      <c r="P109" s="54" t="s">
        <v>593</v>
      </c>
      <c r="Q109" s="54" t="s">
        <v>594</v>
      </c>
      <c r="R109" s="54" t="s">
        <v>595</v>
      </c>
      <c r="S109" s="54" t="s">
        <v>596</v>
      </c>
    </row>
    <row r="110" spans="1:20" ht="288" customHeight="1">
      <c r="A110" s="50">
        <v>5</v>
      </c>
      <c r="B110" s="50" t="s">
        <v>396</v>
      </c>
      <c r="C110" s="50" t="s">
        <v>572</v>
      </c>
      <c r="D110" s="50">
        <v>5579</v>
      </c>
      <c r="E110" s="50" t="s">
        <v>597</v>
      </c>
      <c r="F110" s="50" t="s">
        <v>398</v>
      </c>
      <c r="G110" s="50">
        <v>177.25</v>
      </c>
      <c r="H110" s="50" t="s">
        <v>598</v>
      </c>
      <c r="I110" s="51">
        <v>10000</v>
      </c>
      <c r="J110" s="51">
        <v>25000</v>
      </c>
      <c r="K110" s="51">
        <v>70000</v>
      </c>
      <c r="L110" s="51">
        <v>15000</v>
      </c>
      <c r="M110" s="52">
        <f t="shared" si="2"/>
        <v>120000</v>
      </c>
      <c r="O110" s="52">
        <f t="shared" si="3"/>
        <v>120000</v>
      </c>
      <c r="P110" s="54" t="s">
        <v>599</v>
      </c>
      <c r="Q110" s="54" t="s">
        <v>600</v>
      </c>
      <c r="R110" s="54" t="s">
        <v>601</v>
      </c>
      <c r="S110" s="54" t="s">
        <v>602</v>
      </c>
    </row>
    <row r="111" spans="1:20" ht="290.25">
      <c r="A111" s="50">
        <v>5</v>
      </c>
      <c r="B111" s="50" t="s">
        <v>603</v>
      </c>
      <c r="C111" s="50" t="s">
        <v>604</v>
      </c>
      <c r="D111" s="50">
        <v>5895</v>
      </c>
      <c r="E111" s="50" t="s">
        <v>605</v>
      </c>
      <c r="F111" s="50" t="s">
        <v>606</v>
      </c>
      <c r="G111" s="50">
        <v>360.04</v>
      </c>
      <c r="H111" s="50" t="s">
        <v>607</v>
      </c>
      <c r="I111" s="51">
        <v>10000</v>
      </c>
      <c r="J111" s="51">
        <v>20000</v>
      </c>
      <c r="K111" s="51">
        <v>80000</v>
      </c>
      <c r="L111" s="51">
        <v>15000</v>
      </c>
      <c r="M111" s="52">
        <f t="shared" si="2"/>
        <v>125000</v>
      </c>
      <c r="O111" s="52">
        <v>130000</v>
      </c>
      <c r="P111" s="54" t="s">
        <v>608</v>
      </c>
      <c r="Q111" s="54" t="s">
        <v>609</v>
      </c>
      <c r="R111" s="54" t="s">
        <v>610</v>
      </c>
      <c r="S111" s="72" t="s">
        <v>611</v>
      </c>
    </row>
    <row r="112" spans="1:20" ht="363.75" customHeight="1">
      <c r="A112" s="50">
        <v>5</v>
      </c>
      <c r="B112" s="50" t="s">
        <v>603</v>
      </c>
      <c r="C112" s="50" t="s">
        <v>604</v>
      </c>
      <c r="D112" s="50">
        <v>5495</v>
      </c>
      <c r="E112" s="50" t="s">
        <v>612</v>
      </c>
      <c r="F112" s="50" t="s">
        <v>606</v>
      </c>
      <c r="G112" s="50">
        <v>349.74</v>
      </c>
      <c r="H112" s="50" t="s">
        <v>613</v>
      </c>
      <c r="I112" s="51">
        <v>10000</v>
      </c>
      <c r="J112" s="51">
        <v>20000</v>
      </c>
      <c r="K112" s="51">
        <v>80000</v>
      </c>
      <c r="L112" s="51">
        <v>15000</v>
      </c>
      <c r="M112" s="52">
        <f t="shared" si="2"/>
        <v>125000</v>
      </c>
      <c r="O112" s="52">
        <v>130000</v>
      </c>
      <c r="P112" s="54" t="s">
        <v>614</v>
      </c>
      <c r="Q112" s="54" t="s">
        <v>615</v>
      </c>
      <c r="R112" s="54" t="s">
        <v>616</v>
      </c>
      <c r="S112" s="54" t="s">
        <v>617</v>
      </c>
    </row>
    <row r="113" spans="1:19" ht="323.25">
      <c r="A113" s="50">
        <v>5</v>
      </c>
      <c r="B113" s="50" t="s">
        <v>603</v>
      </c>
      <c r="C113" s="50" t="s">
        <v>604</v>
      </c>
      <c r="D113" s="50">
        <v>5154</v>
      </c>
      <c r="E113" s="50" t="s">
        <v>618</v>
      </c>
      <c r="F113" s="50" t="s">
        <v>606</v>
      </c>
      <c r="G113" s="50">
        <v>275.14</v>
      </c>
      <c r="H113" s="50" t="s">
        <v>619</v>
      </c>
      <c r="I113" s="51">
        <v>10000</v>
      </c>
      <c r="J113" s="51">
        <v>20000</v>
      </c>
      <c r="K113" s="51">
        <v>80000</v>
      </c>
      <c r="L113" s="51">
        <v>15000</v>
      </c>
      <c r="M113" s="52">
        <f t="shared" si="2"/>
        <v>125000</v>
      </c>
      <c r="O113" s="52">
        <v>130000</v>
      </c>
      <c r="P113" s="54" t="s">
        <v>620</v>
      </c>
      <c r="Q113" s="54" t="s">
        <v>621</v>
      </c>
      <c r="R113" s="66" t="s">
        <v>622</v>
      </c>
      <c r="S113" s="54" t="s">
        <v>623</v>
      </c>
    </row>
    <row r="114" spans="1:19" ht="305.25">
      <c r="A114" s="50">
        <v>5</v>
      </c>
      <c r="B114" s="50" t="s">
        <v>603</v>
      </c>
      <c r="C114" s="50" t="s">
        <v>604</v>
      </c>
      <c r="D114" s="50">
        <v>5120</v>
      </c>
      <c r="E114" s="50" t="s">
        <v>624</v>
      </c>
      <c r="F114" s="50" t="s">
        <v>606</v>
      </c>
      <c r="G114" s="50">
        <v>219.84</v>
      </c>
      <c r="H114" s="50" t="s">
        <v>625</v>
      </c>
      <c r="I114" s="51">
        <v>10000</v>
      </c>
      <c r="J114" s="51">
        <v>20000</v>
      </c>
      <c r="K114" s="51">
        <v>80000</v>
      </c>
      <c r="L114" s="51">
        <v>15000</v>
      </c>
      <c r="M114" s="52">
        <f t="shared" si="2"/>
        <v>125000</v>
      </c>
      <c r="O114" s="52">
        <v>130000</v>
      </c>
      <c r="P114" s="54" t="s">
        <v>626</v>
      </c>
      <c r="Q114" s="54" t="s">
        <v>627</v>
      </c>
      <c r="R114" s="66" t="s">
        <v>628</v>
      </c>
      <c r="S114" s="54" t="s">
        <v>629</v>
      </c>
    </row>
    <row r="115" spans="1:19" ht="275.25">
      <c r="A115" s="50">
        <v>5</v>
      </c>
      <c r="B115" s="50" t="s">
        <v>546</v>
      </c>
      <c r="C115" s="50" t="s">
        <v>547</v>
      </c>
      <c r="D115" s="50">
        <v>5480</v>
      </c>
      <c r="E115" s="50" t="s">
        <v>630</v>
      </c>
      <c r="F115" s="50" t="s">
        <v>549</v>
      </c>
      <c r="G115" s="50">
        <v>220.99</v>
      </c>
      <c r="H115" s="50" t="s">
        <v>631</v>
      </c>
      <c r="I115" s="51">
        <v>10000</v>
      </c>
      <c r="J115" s="51">
        <v>20000</v>
      </c>
      <c r="K115" s="51">
        <v>80000</v>
      </c>
      <c r="L115" s="51">
        <v>15000</v>
      </c>
      <c r="M115" s="52">
        <f t="shared" si="2"/>
        <v>125000</v>
      </c>
      <c r="O115" s="52">
        <v>130000</v>
      </c>
      <c r="P115" s="54" t="s">
        <v>632</v>
      </c>
      <c r="Q115" s="54" t="s">
        <v>633</v>
      </c>
      <c r="R115" s="54" t="s">
        <v>634</v>
      </c>
      <c r="S115" s="54" t="s">
        <v>635</v>
      </c>
    </row>
    <row r="116" spans="1:19" ht="320.25">
      <c r="A116" s="50">
        <v>5</v>
      </c>
      <c r="B116" s="50" t="s">
        <v>546</v>
      </c>
      <c r="C116" s="50" t="s">
        <v>636</v>
      </c>
      <c r="D116" s="50">
        <v>5475</v>
      </c>
      <c r="E116" s="50" t="s">
        <v>637</v>
      </c>
      <c r="F116" s="50" t="s">
        <v>549</v>
      </c>
      <c r="G116" s="73" t="s">
        <v>638</v>
      </c>
      <c r="H116" s="50" t="s">
        <v>639</v>
      </c>
      <c r="I116" s="51">
        <v>10000</v>
      </c>
      <c r="J116" s="51">
        <v>25000</v>
      </c>
      <c r="K116" s="51">
        <v>80000</v>
      </c>
      <c r="L116" s="51">
        <v>10000</v>
      </c>
      <c r="M116" s="52">
        <f t="shared" si="2"/>
        <v>125000</v>
      </c>
      <c r="O116" s="52">
        <v>130000</v>
      </c>
      <c r="P116" s="54" t="s">
        <v>640</v>
      </c>
      <c r="Q116" s="57" t="s">
        <v>641</v>
      </c>
      <c r="R116" s="57" t="s">
        <v>642</v>
      </c>
      <c r="S116" s="54" t="s">
        <v>643</v>
      </c>
    </row>
    <row r="117" spans="1:19" ht="304.5">
      <c r="A117" s="50">
        <v>5</v>
      </c>
      <c r="B117" s="50" t="s">
        <v>546</v>
      </c>
      <c r="C117" s="50" t="s">
        <v>644</v>
      </c>
      <c r="D117" s="50">
        <v>5051</v>
      </c>
      <c r="E117" s="50" t="s">
        <v>645</v>
      </c>
      <c r="F117" s="50" t="s">
        <v>549</v>
      </c>
      <c r="G117" s="50">
        <v>461.82</v>
      </c>
      <c r="H117" s="50" t="s">
        <v>646</v>
      </c>
      <c r="I117" s="51">
        <v>10000</v>
      </c>
      <c r="J117" s="51">
        <v>25000</v>
      </c>
      <c r="K117" s="51">
        <v>80000</v>
      </c>
      <c r="L117" s="51">
        <v>15000</v>
      </c>
      <c r="M117" s="52">
        <f t="shared" si="2"/>
        <v>130000</v>
      </c>
      <c r="O117" s="52">
        <v>130000</v>
      </c>
      <c r="P117" s="54" t="s">
        <v>647</v>
      </c>
      <c r="Q117" s="54" t="s">
        <v>648</v>
      </c>
      <c r="R117" s="54" t="s">
        <v>649</v>
      </c>
      <c r="S117" s="54" t="s">
        <v>650</v>
      </c>
    </row>
    <row r="118" spans="1:19" ht="275.25">
      <c r="A118" s="50">
        <v>5</v>
      </c>
      <c r="B118" s="50" t="s">
        <v>546</v>
      </c>
      <c r="C118" s="50" t="s">
        <v>644</v>
      </c>
      <c r="D118" s="50">
        <v>5665</v>
      </c>
      <c r="E118" s="50" t="s">
        <v>651</v>
      </c>
      <c r="F118" s="50" t="s">
        <v>549</v>
      </c>
      <c r="G118" s="50">
        <v>377.33</v>
      </c>
      <c r="H118" s="50" t="s">
        <v>652</v>
      </c>
      <c r="I118" s="51">
        <v>10000</v>
      </c>
      <c r="J118" s="51">
        <v>25000</v>
      </c>
      <c r="K118" s="51">
        <v>80000</v>
      </c>
      <c r="L118" s="51">
        <v>15000</v>
      </c>
      <c r="M118" s="52">
        <f t="shared" si="2"/>
        <v>130000</v>
      </c>
      <c r="O118" s="52">
        <v>130000</v>
      </c>
      <c r="P118" s="54" t="s">
        <v>653</v>
      </c>
      <c r="Q118" s="54" t="s">
        <v>654</v>
      </c>
      <c r="R118" s="54" t="s">
        <v>655</v>
      </c>
      <c r="S118" s="54" t="s">
        <v>656</v>
      </c>
    </row>
    <row r="119" spans="1:19" ht="275.25">
      <c r="A119" s="50">
        <v>5</v>
      </c>
      <c r="B119" s="50" t="s">
        <v>546</v>
      </c>
      <c r="C119" s="50" t="s">
        <v>644</v>
      </c>
      <c r="D119" s="50">
        <v>5659</v>
      </c>
      <c r="E119" s="50" t="s">
        <v>657</v>
      </c>
      <c r="F119" s="50" t="s">
        <v>549</v>
      </c>
      <c r="G119" s="50">
        <v>442.52</v>
      </c>
      <c r="H119" s="50" t="s">
        <v>658</v>
      </c>
      <c r="I119" s="51">
        <v>10000</v>
      </c>
      <c r="J119" s="51">
        <v>25000</v>
      </c>
      <c r="K119" s="51">
        <v>80000</v>
      </c>
      <c r="L119" s="51">
        <v>15000</v>
      </c>
      <c r="M119" s="52">
        <f t="shared" si="2"/>
        <v>130000</v>
      </c>
      <c r="O119" s="52">
        <v>130000</v>
      </c>
      <c r="P119" s="54" t="s">
        <v>659</v>
      </c>
      <c r="Q119" s="54" t="s">
        <v>660</v>
      </c>
      <c r="R119" s="54" t="s">
        <v>661</v>
      </c>
      <c r="S119" s="54" t="s">
        <v>662</v>
      </c>
    </row>
    <row r="120" spans="1:19" ht="342" customHeight="1">
      <c r="A120" s="50">
        <v>5</v>
      </c>
      <c r="B120" s="50" t="s">
        <v>546</v>
      </c>
      <c r="C120" s="50" t="s">
        <v>644</v>
      </c>
      <c r="D120" s="50">
        <v>5490</v>
      </c>
      <c r="E120" s="50" t="s">
        <v>663</v>
      </c>
      <c r="F120" s="50" t="s">
        <v>549</v>
      </c>
      <c r="G120" s="50">
        <v>380.32</v>
      </c>
      <c r="H120" s="50" t="s">
        <v>664</v>
      </c>
      <c r="I120" s="51">
        <v>10000</v>
      </c>
      <c r="J120" s="51">
        <v>25000</v>
      </c>
      <c r="K120" s="51">
        <v>80000</v>
      </c>
      <c r="L120" s="51">
        <v>15000</v>
      </c>
      <c r="M120" s="52">
        <f t="shared" si="2"/>
        <v>130000</v>
      </c>
      <c r="O120" s="52">
        <v>130000</v>
      </c>
      <c r="P120" s="54" t="s">
        <v>665</v>
      </c>
      <c r="Q120" s="54" t="s">
        <v>666</v>
      </c>
      <c r="R120" s="54" t="s">
        <v>634</v>
      </c>
      <c r="S120" s="54" t="s">
        <v>667</v>
      </c>
    </row>
    <row r="121" spans="1:19" ht="286.5" customHeight="1">
      <c r="A121" s="50">
        <v>5</v>
      </c>
      <c r="B121" s="50" t="s">
        <v>603</v>
      </c>
      <c r="C121" s="50" t="s">
        <v>604</v>
      </c>
      <c r="D121" s="50">
        <v>5250</v>
      </c>
      <c r="E121" s="50" t="s">
        <v>668</v>
      </c>
      <c r="F121" s="50" t="s">
        <v>606</v>
      </c>
      <c r="G121" s="50">
        <v>355.94</v>
      </c>
      <c r="H121" s="50" t="s">
        <v>669</v>
      </c>
      <c r="I121" s="51">
        <v>10000</v>
      </c>
      <c r="J121" s="51">
        <v>25000</v>
      </c>
      <c r="K121" s="51">
        <v>80000</v>
      </c>
      <c r="L121" s="51">
        <v>15000</v>
      </c>
      <c r="M121" s="52">
        <f t="shared" si="2"/>
        <v>130000</v>
      </c>
      <c r="O121" s="52">
        <v>130000</v>
      </c>
      <c r="P121" s="54" t="s">
        <v>670</v>
      </c>
      <c r="Q121" s="54" t="s">
        <v>671</v>
      </c>
      <c r="R121" s="54" t="s">
        <v>672</v>
      </c>
      <c r="S121" s="54" t="s">
        <v>629</v>
      </c>
    </row>
    <row r="122" spans="1:19" ht="332.25" customHeight="1">
      <c r="A122" s="50">
        <v>5</v>
      </c>
      <c r="B122" s="50" t="s">
        <v>546</v>
      </c>
      <c r="C122" s="50" t="s">
        <v>547</v>
      </c>
      <c r="D122" s="50">
        <v>5837</v>
      </c>
      <c r="E122" s="50" t="s">
        <v>673</v>
      </c>
      <c r="F122" s="50" t="s">
        <v>549</v>
      </c>
      <c r="G122" s="50">
        <v>333.83</v>
      </c>
      <c r="H122" s="50" t="s">
        <v>674</v>
      </c>
      <c r="I122" s="51">
        <v>10000</v>
      </c>
      <c r="J122" s="51">
        <v>25000</v>
      </c>
      <c r="K122" s="51">
        <v>80000</v>
      </c>
      <c r="L122" s="51">
        <v>15000</v>
      </c>
      <c r="M122" s="52">
        <f t="shared" si="2"/>
        <v>130000</v>
      </c>
      <c r="O122" s="52">
        <v>130000</v>
      </c>
      <c r="P122" s="54" t="s">
        <v>675</v>
      </c>
      <c r="Q122" s="54" t="s">
        <v>676</v>
      </c>
      <c r="R122" s="54" t="s">
        <v>677</v>
      </c>
      <c r="S122" s="54" t="s">
        <v>678</v>
      </c>
    </row>
    <row r="123" spans="1:19" ht="321">
      <c r="A123" s="50">
        <v>5</v>
      </c>
      <c r="B123" s="50" t="s">
        <v>396</v>
      </c>
      <c r="C123" s="50" t="s">
        <v>572</v>
      </c>
      <c r="D123" s="50">
        <v>5893</v>
      </c>
      <c r="E123" s="50" t="s">
        <v>679</v>
      </c>
      <c r="F123" s="50" t="s">
        <v>398</v>
      </c>
      <c r="G123" s="50">
        <v>330.4</v>
      </c>
      <c r="H123" s="50" t="s">
        <v>680</v>
      </c>
      <c r="I123" s="51">
        <v>10000</v>
      </c>
      <c r="J123" s="51">
        <v>25000</v>
      </c>
      <c r="K123" s="51">
        <v>80000</v>
      </c>
      <c r="L123" s="51">
        <v>15000</v>
      </c>
      <c r="M123" s="52">
        <f t="shared" si="2"/>
        <v>130000</v>
      </c>
      <c r="O123" s="52">
        <v>130000</v>
      </c>
      <c r="P123" s="54" t="s">
        <v>681</v>
      </c>
      <c r="Q123" s="54" t="s">
        <v>682</v>
      </c>
      <c r="R123" s="54" t="s">
        <v>683</v>
      </c>
      <c r="S123" s="54" t="s">
        <v>684</v>
      </c>
    </row>
    <row r="124" spans="1:19" ht="352.5" customHeight="1">
      <c r="A124" s="50">
        <v>5</v>
      </c>
      <c r="B124" s="50" t="s">
        <v>546</v>
      </c>
      <c r="C124" s="50" t="s">
        <v>547</v>
      </c>
      <c r="D124" s="50">
        <v>5045</v>
      </c>
      <c r="E124" s="50" t="s">
        <v>685</v>
      </c>
      <c r="F124" s="50" t="s">
        <v>549</v>
      </c>
      <c r="G124" s="50">
        <v>303.83</v>
      </c>
      <c r="H124" s="50" t="s">
        <v>686</v>
      </c>
      <c r="I124" s="51">
        <v>10000</v>
      </c>
      <c r="J124" s="51">
        <v>25000</v>
      </c>
      <c r="K124" s="51">
        <v>80000</v>
      </c>
      <c r="L124" s="51">
        <v>15000</v>
      </c>
      <c r="M124" s="52">
        <f t="shared" si="2"/>
        <v>130000</v>
      </c>
      <c r="O124" s="52">
        <v>130000</v>
      </c>
      <c r="P124" s="54" t="s">
        <v>687</v>
      </c>
      <c r="Q124" s="54" t="s">
        <v>688</v>
      </c>
      <c r="R124" s="54" t="s">
        <v>689</v>
      </c>
      <c r="S124" s="54" t="s">
        <v>690</v>
      </c>
    </row>
    <row r="125" spans="1:19" ht="276" customHeight="1">
      <c r="A125" s="50">
        <v>5</v>
      </c>
      <c r="B125" s="50" t="s">
        <v>603</v>
      </c>
      <c r="C125" s="50" t="s">
        <v>604</v>
      </c>
      <c r="D125" s="50">
        <v>5790</v>
      </c>
      <c r="E125" s="50" t="s">
        <v>691</v>
      </c>
      <c r="F125" s="50" t="s">
        <v>606</v>
      </c>
      <c r="G125" s="50">
        <v>212.34</v>
      </c>
      <c r="H125" s="50" t="s">
        <v>692</v>
      </c>
      <c r="I125" s="51">
        <v>10000</v>
      </c>
      <c r="J125" s="51">
        <v>25000</v>
      </c>
      <c r="K125" s="51">
        <v>80000</v>
      </c>
      <c r="L125" s="51">
        <v>15000</v>
      </c>
      <c r="M125" s="52">
        <f t="shared" si="2"/>
        <v>130000</v>
      </c>
      <c r="O125" s="52">
        <v>130000</v>
      </c>
      <c r="P125" s="66" t="s">
        <v>693</v>
      </c>
      <c r="Q125" s="66" t="s">
        <v>694</v>
      </c>
      <c r="R125" s="67" t="s">
        <v>695</v>
      </c>
      <c r="S125" s="54" t="s">
        <v>629</v>
      </c>
    </row>
    <row r="126" spans="1:19" ht="273">
      <c r="A126" s="50">
        <v>5</v>
      </c>
      <c r="B126" s="50" t="s">
        <v>546</v>
      </c>
      <c r="C126" s="50" t="s">
        <v>636</v>
      </c>
      <c r="D126" s="50">
        <v>5873</v>
      </c>
      <c r="E126" s="50" t="s">
        <v>696</v>
      </c>
      <c r="F126" s="50" t="s">
        <v>549</v>
      </c>
      <c r="G126" s="50" t="s">
        <v>697</v>
      </c>
      <c r="H126" s="74" t="s">
        <v>698</v>
      </c>
      <c r="I126" s="51">
        <v>10000</v>
      </c>
      <c r="J126" s="51">
        <v>25000</v>
      </c>
      <c r="K126" s="51">
        <v>80000</v>
      </c>
      <c r="L126" s="51">
        <v>15000</v>
      </c>
      <c r="M126" s="52">
        <f t="shared" si="2"/>
        <v>130000</v>
      </c>
      <c r="O126" s="52">
        <v>130000</v>
      </c>
      <c r="P126" s="57" t="s">
        <v>699</v>
      </c>
      <c r="Q126" s="66" t="s">
        <v>700</v>
      </c>
      <c r="R126" s="57" t="s">
        <v>701</v>
      </c>
      <c r="S126" s="54" t="s">
        <v>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3EA6-657E-4280-B723-8FF4CB357B9C}">
  <dimension ref="A1:H126"/>
  <sheetViews>
    <sheetView topLeftCell="A99" workbookViewId="0">
      <selection activeCell="H1" sqref="H1:H1048576"/>
    </sheetView>
  </sheetViews>
  <sheetFormatPr defaultColWidth="11.42578125" defaultRowHeight="15"/>
  <cols>
    <col min="1" max="1" width="21" style="49" customWidth="1"/>
    <col min="2" max="2" width="59" style="76" customWidth="1"/>
    <col min="4" max="5" width="21" style="49" customWidth="1"/>
    <col min="7" max="7" width="21" style="49" customWidth="1"/>
    <col min="8" max="8" width="40.140625" style="76" customWidth="1"/>
  </cols>
  <sheetData>
    <row r="1" spans="1:8" ht="15.75">
      <c r="A1" s="40" t="s">
        <v>44</v>
      </c>
      <c r="B1" s="44" t="s">
        <v>54</v>
      </c>
      <c r="D1" s="40" t="s">
        <v>44</v>
      </c>
      <c r="E1" s="40" t="s">
        <v>45</v>
      </c>
      <c r="G1" s="40" t="s">
        <v>44</v>
      </c>
      <c r="H1" s="44" t="s">
        <v>55</v>
      </c>
    </row>
    <row r="2" spans="1:8" ht="290.25">
      <c r="A2" s="50" t="s">
        <v>60</v>
      </c>
      <c r="B2" s="54" t="s">
        <v>63</v>
      </c>
      <c r="D2" s="50" t="s">
        <v>60</v>
      </c>
      <c r="E2" s="50" t="s">
        <v>61</v>
      </c>
      <c r="G2" s="50" t="s">
        <v>60</v>
      </c>
      <c r="H2" s="54" t="s">
        <v>64</v>
      </c>
    </row>
    <row r="3" spans="1:8" ht="122.25">
      <c r="A3" s="50" t="s">
        <v>67</v>
      </c>
      <c r="B3" s="54" t="s">
        <v>70</v>
      </c>
      <c r="D3" s="50" t="s">
        <v>67</v>
      </c>
      <c r="E3" s="50" t="s">
        <v>68</v>
      </c>
      <c r="G3" s="50" t="s">
        <v>67</v>
      </c>
      <c r="H3" s="54" t="s">
        <v>71</v>
      </c>
    </row>
    <row r="4" spans="1:8" ht="243.75">
      <c r="A4" s="50" t="s">
        <v>76</v>
      </c>
      <c r="B4" s="54" t="s">
        <v>77</v>
      </c>
      <c r="D4" s="50" t="s">
        <v>76</v>
      </c>
      <c r="E4" s="50" t="s">
        <v>68</v>
      </c>
      <c r="G4" s="50" t="s">
        <v>76</v>
      </c>
      <c r="H4" s="54" t="s">
        <v>78</v>
      </c>
    </row>
    <row r="5" spans="1:8" ht="243.75">
      <c r="A5" s="50" t="s">
        <v>82</v>
      </c>
      <c r="B5" s="54" t="s">
        <v>84</v>
      </c>
      <c r="D5" s="50" t="s">
        <v>82</v>
      </c>
      <c r="E5" s="50" t="s">
        <v>68</v>
      </c>
      <c r="G5" s="50" t="s">
        <v>82</v>
      </c>
      <c r="H5" s="54" t="s">
        <v>78</v>
      </c>
    </row>
    <row r="6" spans="1:8" ht="227.25">
      <c r="A6" s="50" t="s">
        <v>86</v>
      </c>
      <c r="B6" s="54" t="s">
        <v>88</v>
      </c>
      <c r="D6" s="50" t="s">
        <v>86</v>
      </c>
      <c r="E6" s="50" t="s">
        <v>68</v>
      </c>
      <c r="G6" s="50" t="s">
        <v>86</v>
      </c>
      <c r="H6" s="54" t="s">
        <v>78</v>
      </c>
    </row>
    <row r="7" spans="1:8" ht="243.75">
      <c r="A7" s="50" t="s">
        <v>91</v>
      </c>
      <c r="B7" s="54" t="s">
        <v>93</v>
      </c>
      <c r="D7" s="50" t="s">
        <v>91</v>
      </c>
      <c r="E7" s="50" t="s">
        <v>68</v>
      </c>
      <c r="G7" s="50" t="s">
        <v>91</v>
      </c>
      <c r="H7" s="54" t="s">
        <v>78</v>
      </c>
    </row>
    <row r="8" spans="1:8" ht="243.75">
      <c r="A8" s="50" t="s">
        <v>96</v>
      </c>
      <c r="B8" s="54" t="s">
        <v>98</v>
      </c>
      <c r="D8" s="50" t="s">
        <v>96</v>
      </c>
      <c r="E8" s="50" t="s">
        <v>68</v>
      </c>
      <c r="G8" s="50" t="s">
        <v>96</v>
      </c>
      <c r="H8" s="54" t="s">
        <v>78</v>
      </c>
    </row>
    <row r="9" spans="1:8" ht="228">
      <c r="A9" s="50" t="s">
        <v>100</v>
      </c>
      <c r="B9" s="54" t="s">
        <v>101</v>
      </c>
      <c r="D9" s="50" t="s">
        <v>100</v>
      </c>
      <c r="E9" s="50" t="s">
        <v>68</v>
      </c>
      <c r="G9" s="50" t="s">
        <v>100</v>
      </c>
      <c r="H9" s="54" t="s">
        <v>78</v>
      </c>
    </row>
    <row r="10" spans="1:8" ht="243.75">
      <c r="A10" s="50" t="s">
        <v>103</v>
      </c>
      <c r="B10" s="54" t="s">
        <v>105</v>
      </c>
      <c r="D10" s="50" t="s">
        <v>103</v>
      </c>
      <c r="E10" s="50" t="s">
        <v>68</v>
      </c>
      <c r="G10" s="50" t="s">
        <v>103</v>
      </c>
      <c r="H10" s="54" t="s">
        <v>78</v>
      </c>
    </row>
    <row r="11" spans="1:8" ht="243.75">
      <c r="A11" s="50" t="s">
        <v>107</v>
      </c>
      <c r="B11" s="54" t="s">
        <v>105</v>
      </c>
      <c r="D11" s="50" t="s">
        <v>107</v>
      </c>
      <c r="E11" s="50" t="s">
        <v>68</v>
      </c>
      <c r="G11" s="50" t="s">
        <v>107</v>
      </c>
      <c r="H11" s="54" t="s">
        <v>78</v>
      </c>
    </row>
    <row r="12" spans="1:8" ht="243.75">
      <c r="A12" s="50" t="s">
        <v>112</v>
      </c>
      <c r="B12" s="54" t="s">
        <v>115</v>
      </c>
      <c r="D12" s="50" t="s">
        <v>112</v>
      </c>
      <c r="E12" s="50" t="s">
        <v>113</v>
      </c>
      <c r="G12" s="50" t="s">
        <v>112</v>
      </c>
      <c r="H12" s="54" t="s">
        <v>78</v>
      </c>
    </row>
    <row r="13" spans="1:8" ht="258.75">
      <c r="A13" s="50" t="s">
        <v>117</v>
      </c>
      <c r="B13" s="54" t="s">
        <v>119</v>
      </c>
      <c r="D13" s="50" t="s">
        <v>117</v>
      </c>
      <c r="E13" s="50" t="s">
        <v>61</v>
      </c>
      <c r="G13" s="50" t="s">
        <v>117</v>
      </c>
      <c r="H13" s="54" t="s">
        <v>78</v>
      </c>
    </row>
    <row r="14" spans="1:8" ht="321">
      <c r="A14" s="50" t="s">
        <v>123</v>
      </c>
      <c r="B14" s="54" t="s">
        <v>126</v>
      </c>
      <c r="D14" s="50" t="s">
        <v>123</v>
      </c>
      <c r="E14" s="50" t="s">
        <v>124</v>
      </c>
      <c r="G14" s="50" t="s">
        <v>123</v>
      </c>
      <c r="H14" s="54" t="s">
        <v>127</v>
      </c>
    </row>
    <row r="15" spans="1:8" ht="336">
      <c r="A15" s="50" t="s">
        <v>129</v>
      </c>
      <c r="B15" s="54" t="s">
        <v>131</v>
      </c>
      <c r="D15" s="50" t="s">
        <v>129</v>
      </c>
      <c r="E15" s="50" t="s">
        <v>113</v>
      </c>
      <c r="G15" s="50" t="s">
        <v>129</v>
      </c>
      <c r="H15" s="57" t="s">
        <v>132</v>
      </c>
    </row>
    <row r="16" spans="1:8" ht="321">
      <c r="A16" s="50" t="s">
        <v>137</v>
      </c>
      <c r="B16" s="57" t="s">
        <v>140</v>
      </c>
      <c r="D16" s="50" t="s">
        <v>137</v>
      </c>
      <c r="E16" s="50" t="s">
        <v>138</v>
      </c>
      <c r="G16" s="50" t="s">
        <v>137</v>
      </c>
      <c r="H16" s="57" t="s">
        <v>141</v>
      </c>
    </row>
    <row r="17" spans="1:8" ht="290.25">
      <c r="A17" s="50" t="s">
        <v>144</v>
      </c>
      <c r="B17" s="54" t="s">
        <v>146</v>
      </c>
      <c r="D17" s="50" t="s">
        <v>144</v>
      </c>
      <c r="E17" s="50" t="s">
        <v>124</v>
      </c>
      <c r="G17" s="50" t="s">
        <v>144</v>
      </c>
      <c r="H17" s="54" t="s">
        <v>64</v>
      </c>
    </row>
    <row r="18" spans="1:8" ht="243.75">
      <c r="A18" s="50" t="s">
        <v>149</v>
      </c>
      <c r="B18" s="54" t="s">
        <v>115</v>
      </c>
      <c r="D18" s="50" t="s">
        <v>149</v>
      </c>
      <c r="E18" s="50" t="s">
        <v>68</v>
      </c>
      <c r="G18" s="50" t="s">
        <v>149</v>
      </c>
      <c r="H18" s="54" t="s">
        <v>78</v>
      </c>
    </row>
    <row r="19" spans="1:8" ht="290.25">
      <c r="A19" s="50" t="s">
        <v>151</v>
      </c>
      <c r="B19" s="54" t="s">
        <v>153</v>
      </c>
      <c r="D19" s="50" t="s">
        <v>151</v>
      </c>
      <c r="E19" s="50" t="s">
        <v>61</v>
      </c>
      <c r="G19" s="50" t="s">
        <v>151</v>
      </c>
      <c r="H19" s="54" t="s">
        <v>154</v>
      </c>
    </row>
    <row r="20" spans="1:8" ht="336">
      <c r="A20" s="50" t="s">
        <v>157</v>
      </c>
      <c r="B20" s="54" t="s">
        <v>159</v>
      </c>
      <c r="D20" s="50" t="s">
        <v>157</v>
      </c>
      <c r="E20" s="50" t="s">
        <v>113</v>
      </c>
      <c r="G20" s="50" t="s">
        <v>157</v>
      </c>
      <c r="H20" s="57" t="s">
        <v>160</v>
      </c>
    </row>
    <row r="21" spans="1:8" ht="336">
      <c r="A21" s="50" t="s">
        <v>161</v>
      </c>
      <c r="B21" s="54" t="s">
        <v>131</v>
      </c>
      <c r="D21" s="50" t="s">
        <v>161</v>
      </c>
      <c r="E21" s="50" t="s">
        <v>113</v>
      </c>
      <c r="G21" s="50" t="s">
        <v>161</v>
      </c>
      <c r="H21" s="57" t="s">
        <v>163</v>
      </c>
    </row>
    <row r="22" spans="1:8" ht="321">
      <c r="A22" s="50" t="s">
        <v>165</v>
      </c>
      <c r="B22" s="57" t="s">
        <v>140</v>
      </c>
      <c r="D22" s="50" t="s">
        <v>165</v>
      </c>
      <c r="E22" s="50" t="s">
        <v>138</v>
      </c>
      <c r="G22" s="50" t="s">
        <v>165</v>
      </c>
      <c r="H22" s="57" t="s">
        <v>167</v>
      </c>
    </row>
    <row r="23" spans="1:8" ht="290.25">
      <c r="A23" s="50" t="s">
        <v>170</v>
      </c>
      <c r="B23" s="54" t="s">
        <v>153</v>
      </c>
      <c r="D23" s="50" t="s">
        <v>170</v>
      </c>
      <c r="E23" s="50" t="s">
        <v>61</v>
      </c>
      <c r="G23" s="50" t="s">
        <v>170</v>
      </c>
      <c r="H23" s="54" t="s">
        <v>64</v>
      </c>
    </row>
    <row r="24" spans="1:8" ht="336">
      <c r="A24" s="50" t="s">
        <v>174</v>
      </c>
      <c r="B24" s="54" t="s">
        <v>176</v>
      </c>
      <c r="D24" s="50" t="s">
        <v>174</v>
      </c>
      <c r="E24" s="50" t="s">
        <v>113</v>
      </c>
      <c r="G24" s="50" t="s">
        <v>174</v>
      </c>
      <c r="H24" s="57" t="s">
        <v>163</v>
      </c>
    </row>
    <row r="25" spans="1:8" ht="321">
      <c r="A25" s="50" t="s">
        <v>178</v>
      </c>
      <c r="B25" s="57" t="s">
        <v>140</v>
      </c>
      <c r="D25" s="50" t="s">
        <v>178</v>
      </c>
      <c r="E25" s="50" t="s">
        <v>138</v>
      </c>
      <c r="G25" s="50" t="s">
        <v>178</v>
      </c>
      <c r="H25" s="57" t="s">
        <v>179</v>
      </c>
    </row>
    <row r="26" spans="1:8" ht="336">
      <c r="A26" s="50" t="s">
        <v>182</v>
      </c>
      <c r="B26" s="54" t="s">
        <v>184</v>
      </c>
      <c r="D26" s="50" t="s">
        <v>182</v>
      </c>
      <c r="E26" s="50" t="s">
        <v>124</v>
      </c>
      <c r="G26" s="50" t="s">
        <v>182</v>
      </c>
      <c r="H26" s="54" t="s">
        <v>127</v>
      </c>
    </row>
    <row r="27" spans="1:8" ht="336">
      <c r="A27" s="50" t="s">
        <v>185</v>
      </c>
      <c r="B27" s="54" t="s">
        <v>187</v>
      </c>
      <c r="D27" s="50" t="s">
        <v>185</v>
      </c>
      <c r="E27" s="50" t="s">
        <v>124</v>
      </c>
      <c r="G27" s="50" t="s">
        <v>185</v>
      </c>
      <c r="H27" s="54" t="s">
        <v>127</v>
      </c>
    </row>
    <row r="28" spans="1:8" ht="336">
      <c r="A28" s="50" t="s">
        <v>189</v>
      </c>
      <c r="B28" s="54" t="s">
        <v>184</v>
      </c>
      <c r="D28" s="50" t="s">
        <v>189</v>
      </c>
      <c r="E28" s="50" t="s">
        <v>124</v>
      </c>
      <c r="G28" s="50" t="s">
        <v>189</v>
      </c>
      <c r="H28" s="54" t="s">
        <v>127</v>
      </c>
    </row>
    <row r="29" spans="1:8" ht="321">
      <c r="A29" s="50" t="s">
        <v>192</v>
      </c>
      <c r="B29" s="54" t="s">
        <v>194</v>
      </c>
      <c r="D29" s="50" t="s">
        <v>192</v>
      </c>
      <c r="E29" s="50" t="s">
        <v>124</v>
      </c>
      <c r="G29" s="50" t="s">
        <v>192</v>
      </c>
      <c r="H29" s="54" t="s">
        <v>127</v>
      </c>
    </row>
    <row r="30" spans="1:8" ht="336">
      <c r="A30" s="50" t="s">
        <v>196</v>
      </c>
      <c r="B30" s="54" t="s">
        <v>184</v>
      </c>
      <c r="D30" s="50" t="s">
        <v>196</v>
      </c>
      <c r="E30" s="50" t="s">
        <v>124</v>
      </c>
      <c r="G30" s="50" t="s">
        <v>196</v>
      </c>
      <c r="H30" s="54" t="s">
        <v>127</v>
      </c>
    </row>
    <row r="31" spans="1:8" ht="336">
      <c r="A31" s="50" t="s">
        <v>199</v>
      </c>
      <c r="B31" s="54" t="s">
        <v>201</v>
      </c>
      <c r="D31" s="50" t="s">
        <v>199</v>
      </c>
      <c r="E31" s="50" t="s">
        <v>113</v>
      </c>
      <c r="G31" s="50" t="s">
        <v>199</v>
      </c>
      <c r="H31" s="57" t="s">
        <v>163</v>
      </c>
    </row>
    <row r="32" spans="1:8" ht="336">
      <c r="A32" s="50" t="s">
        <v>204</v>
      </c>
      <c r="B32" s="54" t="s">
        <v>206</v>
      </c>
      <c r="D32" s="50" t="s">
        <v>204</v>
      </c>
      <c r="E32" s="50" t="s">
        <v>113</v>
      </c>
      <c r="G32" s="50" t="s">
        <v>204</v>
      </c>
      <c r="H32" s="57" t="s">
        <v>207</v>
      </c>
    </row>
    <row r="33" spans="1:8" ht="336">
      <c r="A33" s="50" t="s">
        <v>209</v>
      </c>
      <c r="B33" s="54" t="s">
        <v>201</v>
      </c>
      <c r="D33" s="50" t="s">
        <v>209</v>
      </c>
      <c r="E33" s="50" t="s">
        <v>113</v>
      </c>
      <c r="G33" s="50" t="s">
        <v>209</v>
      </c>
      <c r="H33" s="57" t="s">
        <v>210</v>
      </c>
    </row>
    <row r="34" spans="1:8" ht="336">
      <c r="A34" s="50" t="s">
        <v>212</v>
      </c>
      <c r="B34" s="54" t="s">
        <v>201</v>
      </c>
      <c r="D34" s="50" t="s">
        <v>212</v>
      </c>
      <c r="E34" s="50" t="s">
        <v>113</v>
      </c>
      <c r="G34" s="50" t="s">
        <v>212</v>
      </c>
      <c r="H34" s="57" t="s">
        <v>213</v>
      </c>
    </row>
    <row r="35" spans="1:8" ht="304.5">
      <c r="A35" s="50" t="s">
        <v>215</v>
      </c>
      <c r="B35" s="54" t="s">
        <v>217</v>
      </c>
      <c r="D35" s="50" t="s">
        <v>215</v>
      </c>
      <c r="E35" s="50" t="s">
        <v>138</v>
      </c>
      <c r="G35" s="50" t="s">
        <v>215</v>
      </c>
      <c r="H35" s="57" t="s">
        <v>218</v>
      </c>
    </row>
    <row r="36" spans="1:8" ht="409.5">
      <c r="A36" s="59" t="s">
        <v>223</v>
      </c>
      <c r="B36" s="60" t="s">
        <v>226</v>
      </c>
      <c r="D36" s="59" t="s">
        <v>223</v>
      </c>
      <c r="E36" s="59" t="s">
        <v>224</v>
      </c>
      <c r="G36" s="59" t="s">
        <v>223</v>
      </c>
      <c r="H36" s="61" t="s">
        <v>227</v>
      </c>
    </row>
    <row r="37" spans="1:8" ht="244.5">
      <c r="A37" s="50" t="s">
        <v>230</v>
      </c>
      <c r="B37" s="54" t="s">
        <v>232</v>
      </c>
      <c r="D37" s="50" t="s">
        <v>230</v>
      </c>
      <c r="E37" s="50" t="s">
        <v>61</v>
      </c>
      <c r="G37" s="50" t="s">
        <v>230</v>
      </c>
      <c r="H37" s="54" t="s">
        <v>233</v>
      </c>
    </row>
    <row r="38" spans="1:8" ht="336">
      <c r="A38" s="50" t="s">
        <v>235</v>
      </c>
      <c r="B38" s="54" t="s">
        <v>131</v>
      </c>
      <c r="D38" s="50" t="s">
        <v>235</v>
      </c>
      <c r="E38" s="50" t="s">
        <v>113</v>
      </c>
      <c r="G38" s="50" t="s">
        <v>235</v>
      </c>
      <c r="H38" s="57" t="s">
        <v>237</v>
      </c>
    </row>
    <row r="39" spans="1:8" ht="304.5">
      <c r="A39" s="50" t="s">
        <v>239</v>
      </c>
      <c r="B39" s="54" t="s">
        <v>240</v>
      </c>
      <c r="D39" s="50" t="s">
        <v>239</v>
      </c>
      <c r="E39" s="50" t="s">
        <v>138</v>
      </c>
      <c r="G39" s="50" t="s">
        <v>239</v>
      </c>
      <c r="H39" s="57" t="s">
        <v>241</v>
      </c>
    </row>
    <row r="40" spans="1:8" ht="336">
      <c r="A40" s="50" t="s">
        <v>243</v>
      </c>
      <c r="B40" s="54" t="s">
        <v>245</v>
      </c>
      <c r="D40" s="50" t="s">
        <v>243</v>
      </c>
      <c r="E40" s="50" t="s">
        <v>113</v>
      </c>
      <c r="G40" s="50" t="s">
        <v>243</v>
      </c>
      <c r="H40" s="57" t="s">
        <v>246</v>
      </c>
    </row>
    <row r="41" spans="1:8" ht="336">
      <c r="A41" s="50" t="s">
        <v>248</v>
      </c>
      <c r="B41" s="54" t="s">
        <v>250</v>
      </c>
      <c r="D41" s="50" t="s">
        <v>248</v>
      </c>
      <c r="E41" s="50" t="s">
        <v>113</v>
      </c>
      <c r="G41" s="50" t="s">
        <v>248</v>
      </c>
      <c r="H41" s="57" t="s">
        <v>251</v>
      </c>
    </row>
    <row r="42" spans="1:8" ht="290.25">
      <c r="A42" s="50" t="s">
        <v>253</v>
      </c>
      <c r="B42" s="54" t="s">
        <v>255</v>
      </c>
      <c r="D42" s="50" t="s">
        <v>253</v>
      </c>
      <c r="E42" s="50" t="s">
        <v>61</v>
      </c>
      <c r="G42" s="50" t="s">
        <v>253</v>
      </c>
      <c r="H42" s="54" t="s">
        <v>64</v>
      </c>
    </row>
    <row r="43" spans="1:8" ht="336">
      <c r="A43" s="50" t="s">
        <v>259</v>
      </c>
      <c r="B43" s="54" t="s">
        <v>159</v>
      </c>
      <c r="D43" s="50" t="s">
        <v>259</v>
      </c>
      <c r="E43" s="50" t="s">
        <v>113</v>
      </c>
      <c r="G43" s="50" t="s">
        <v>259</v>
      </c>
      <c r="H43" s="57" t="s">
        <v>261</v>
      </c>
    </row>
    <row r="44" spans="1:8" ht="291">
      <c r="A44" s="59" t="s">
        <v>263</v>
      </c>
      <c r="B44" s="61" t="s">
        <v>265</v>
      </c>
      <c r="D44" s="59" t="s">
        <v>263</v>
      </c>
      <c r="E44" s="59" t="s">
        <v>224</v>
      </c>
      <c r="G44" s="59" t="s">
        <v>263</v>
      </c>
      <c r="H44" s="61" t="s">
        <v>266</v>
      </c>
    </row>
    <row r="45" spans="1:8" ht="290.25">
      <c r="A45" s="50" t="s">
        <v>269</v>
      </c>
      <c r="B45" s="54" t="s">
        <v>153</v>
      </c>
      <c r="D45" s="50" t="s">
        <v>269</v>
      </c>
      <c r="E45" s="50" t="s">
        <v>61</v>
      </c>
      <c r="G45" s="50" t="s">
        <v>269</v>
      </c>
      <c r="H45" s="54" t="s">
        <v>271</v>
      </c>
    </row>
    <row r="46" spans="1:8" ht="336">
      <c r="A46" s="50" t="s">
        <v>273</v>
      </c>
      <c r="B46" s="54" t="s">
        <v>159</v>
      </c>
      <c r="D46" s="50" t="s">
        <v>273</v>
      </c>
      <c r="E46" s="50" t="s">
        <v>113</v>
      </c>
      <c r="G46" s="50" t="s">
        <v>273</v>
      </c>
      <c r="H46" s="57" t="s">
        <v>274</v>
      </c>
    </row>
    <row r="47" spans="1:8" ht="336">
      <c r="A47" s="50" t="s">
        <v>276</v>
      </c>
      <c r="B47" s="54" t="s">
        <v>201</v>
      </c>
      <c r="D47" s="50" t="s">
        <v>276</v>
      </c>
      <c r="E47" s="50" t="s">
        <v>113</v>
      </c>
      <c r="G47" s="50" t="s">
        <v>276</v>
      </c>
      <c r="H47" s="57" t="s">
        <v>277</v>
      </c>
    </row>
    <row r="48" spans="1:8" ht="305.25">
      <c r="A48" s="50" t="s">
        <v>279</v>
      </c>
      <c r="B48" s="54" t="s">
        <v>280</v>
      </c>
      <c r="D48" s="50" t="s">
        <v>279</v>
      </c>
      <c r="E48" s="50" t="s">
        <v>61</v>
      </c>
      <c r="G48" s="50" t="s">
        <v>279</v>
      </c>
      <c r="H48" s="54" t="s">
        <v>281</v>
      </c>
    </row>
    <row r="49" spans="1:8" ht="290.25">
      <c r="A49" s="50" t="s">
        <v>282</v>
      </c>
      <c r="B49" s="54" t="s">
        <v>153</v>
      </c>
      <c r="D49" s="50" t="s">
        <v>282</v>
      </c>
      <c r="E49" s="50" t="s">
        <v>61</v>
      </c>
      <c r="G49" s="50" t="s">
        <v>282</v>
      </c>
      <c r="H49" s="54" t="s">
        <v>64</v>
      </c>
    </row>
    <row r="50" spans="1:8" ht="336">
      <c r="A50" s="50" t="s">
        <v>285</v>
      </c>
      <c r="B50" s="54" t="s">
        <v>287</v>
      </c>
      <c r="D50" s="50" t="s">
        <v>285</v>
      </c>
      <c r="E50" s="50" t="s">
        <v>124</v>
      </c>
      <c r="G50" s="50" t="s">
        <v>285</v>
      </c>
      <c r="H50" s="54" t="s">
        <v>127</v>
      </c>
    </row>
    <row r="51" spans="1:8" ht="321">
      <c r="A51" s="50" t="s">
        <v>289</v>
      </c>
      <c r="B51" s="54" t="s">
        <v>291</v>
      </c>
      <c r="D51" s="50" t="s">
        <v>289</v>
      </c>
      <c r="E51" s="50" t="s">
        <v>124</v>
      </c>
      <c r="G51" s="50" t="s">
        <v>289</v>
      </c>
      <c r="H51" s="54" t="s">
        <v>127</v>
      </c>
    </row>
    <row r="52" spans="1:8" ht="290.25">
      <c r="A52" s="50" t="s">
        <v>295</v>
      </c>
      <c r="B52" s="54" t="s">
        <v>297</v>
      </c>
      <c r="D52" s="50" t="s">
        <v>295</v>
      </c>
      <c r="E52" s="50" t="s">
        <v>138</v>
      </c>
      <c r="G52" s="50" t="s">
        <v>295</v>
      </c>
      <c r="H52" s="54" t="s">
        <v>298</v>
      </c>
    </row>
    <row r="53" spans="1:8" ht="290.25">
      <c r="A53" s="50" t="s">
        <v>302</v>
      </c>
      <c r="B53" s="54" t="s">
        <v>255</v>
      </c>
      <c r="D53" s="50" t="s">
        <v>302</v>
      </c>
      <c r="E53" s="50" t="s">
        <v>61</v>
      </c>
      <c r="G53" s="50" t="s">
        <v>302</v>
      </c>
      <c r="H53" s="54" t="s">
        <v>304</v>
      </c>
    </row>
    <row r="54" spans="1:8" ht="274.5">
      <c r="A54" s="50" t="s">
        <v>308</v>
      </c>
      <c r="B54" s="54" t="s">
        <v>310</v>
      </c>
      <c r="D54" s="50" t="s">
        <v>308</v>
      </c>
      <c r="E54" s="50" t="s">
        <v>138</v>
      </c>
      <c r="G54" s="50" t="s">
        <v>308</v>
      </c>
      <c r="H54" s="54" t="s">
        <v>311</v>
      </c>
    </row>
    <row r="55" spans="1:8" ht="244.5">
      <c r="A55" s="50" t="s">
        <v>315</v>
      </c>
      <c r="B55" s="54" t="s">
        <v>317</v>
      </c>
      <c r="D55" s="50" t="s">
        <v>315</v>
      </c>
      <c r="E55" s="50" t="s">
        <v>224</v>
      </c>
      <c r="G55" s="50" t="s">
        <v>315</v>
      </c>
      <c r="H55" s="54" t="s">
        <v>318</v>
      </c>
    </row>
    <row r="56" spans="1:8" ht="288.75">
      <c r="A56" s="50" t="s">
        <v>321</v>
      </c>
      <c r="B56" s="54" t="s">
        <v>322</v>
      </c>
      <c r="D56" s="50" t="s">
        <v>321</v>
      </c>
      <c r="E56" s="50" t="s">
        <v>138</v>
      </c>
      <c r="G56" s="50" t="s">
        <v>321</v>
      </c>
      <c r="H56" s="54" t="s">
        <v>323</v>
      </c>
    </row>
    <row r="57" spans="1:8" ht="336">
      <c r="A57" s="50" t="s">
        <v>326</v>
      </c>
      <c r="B57" s="54" t="s">
        <v>328</v>
      </c>
      <c r="D57" s="50" t="s">
        <v>326</v>
      </c>
      <c r="E57" s="50" t="s">
        <v>124</v>
      </c>
      <c r="G57" s="50" t="s">
        <v>326</v>
      </c>
      <c r="H57" s="54" t="s">
        <v>329</v>
      </c>
    </row>
    <row r="58" spans="1:8" ht="336">
      <c r="A58" s="50" t="s">
        <v>332</v>
      </c>
      <c r="B58" s="54" t="s">
        <v>334</v>
      </c>
      <c r="D58" s="50" t="s">
        <v>332</v>
      </c>
      <c r="E58" s="50" t="s">
        <v>113</v>
      </c>
      <c r="G58" s="50" t="s">
        <v>332</v>
      </c>
      <c r="H58" s="54" t="s">
        <v>335</v>
      </c>
    </row>
    <row r="59" spans="1:8" ht="380.25">
      <c r="A59" s="50" t="s">
        <v>339</v>
      </c>
      <c r="B59" s="54" t="s">
        <v>341</v>
      </c>
      <c r="D59" s="50" t="s">
        <v>339</v>
      </c>
      <c r="E59" s="50" t="s">
        <v>224</v>
      </c>
      <c r="G59" s="50" t="s">
        <v>339</v>
      </c>
      <c r="H59" s="54" t="s">
        <v>342</v>
      </c>
    </row>
    <row r="60" spans="1:8" ht="305.25">
      <c r="A60" s="50" t="s">
        <v>345</v>
      </c>
      <c r="B60" s="54" t="s">
        <v>280</v>
      </c>
      <c r="D60" s="50" t="s">
        <v>345</v>
      </c>
      <c r="E60" s="50" t="s">
        <v>61</v>
      </c>
      <c r="G60" s="50" t="s">
        <v>345</v>
      </c>
      <c r="H60" s="54" t="s">
        <v>347</v>
      </c>
    </row>
    <row r="61" spans="1:8" ht="259.5">
      <c r="A61" s="50" t="s">
        <v>351</v>
      </c>
      <c r="B61" s="54" t="s">
        <v>353</v>
      </c>
      <c r="D61" s="50" t="s">
        <v>351</v>
      </c>
      <c r="E61" s="50" t="s">
        <v>113</v>
      </c>
      <c r="G61" s="50" t="s">
        <v>351</v>
      </c>
      <c r="H61" s="54" t="s">
        <v>354</v>
      </c>
    </row>
    <row r="62" spans="1:8" ht="274.5">
      <c r="A62" s="50" t="s">
        <v>357</v>
      </c>
      <c r="B62" s="66" t="s">
        <v>358</v>
      </c>
      <c r="D62" s="50" t="s">
        <v>357</v>
      </c>
      <c r="E62" s="50" t="s">
        <v>113</v>
      </c>
      <c r="G62" s="50" t="s">
        <v>357</v>
      </c>
      <c r="H62" s="67" t="s">
        <v>359</v>
      </c>
    </row>
    <row r="63" spans="1:8" ht="319.5">
      <c r="A63" s="50" t="s">
        <v>362</v>
      </c>
      <c r="B63" s="54" t="s">
        <v>364</v>
      </c>
      <c r="D63" s="50" t="s">
        <v>362</v>
      </c>
      <c r="E63" s="50" t="s">
        <v>224</v>
      </c>
      <c r="G63" s="50" t="s">
        <v>362</v>
      </c>
      <c r="H63" s="54" t="s">
        <v>365</v>
      </c>
    </row>
    <row r="64" spans="1:8" ht="259.5">
      <c r="A64" s="50" t="s">
        <v>368</v>
      </c>
      <c r="B64" s="54" t="s">
        <v>370</v>
      </c>
      <c r="D64" s="50" t="s">
        <v>368</v>
      </c>
      <c r="E64" s="50" t="s">
        <v>224</v>
      </c>
      <c r="G64" s="50" t="s">
        <v>368</v>
      </c>
      <c r="H64" s="54" t="s">
        <v>371</v>
      </c>
    </row>
    <row r="65" spans="1:8" ht="304.5">
      <c r="A65" s="50" t="s">
        <v>374</v>
      </c>
      <c r="B65" s="54" t="s">
        <v>376</v>
      </c>
      <c r="D65" s="50" t="s">
        <v>374</v>
      </c>
      <c r="E65" s="50" t="s">
        <v>61</v>
      </c>
      <c r="G65" s="50" t="s">
        <v>374</v>
      </c>
      <c r="H65" s="54" t="s">
        <v>377</v>
      </c>
    </row>
    <row r="66" spans="1:8" ht="321">
      <c r="A66" s="50" t="s">
        <v>380</v>
      </c>
      <c r="B66" s="54" t="s">
        <v>291</v>
      </c>
      <c r="D66" s="50" t="s">
        <v>380</v>
      </c>
      <c r="E66" s="50" t="s">
        <v>124</v>
      </c>
      <c r="G66" s="50" t="s">
        <v>380</v>
      </c>
      <c r="H66" s="54" t="s">
        <v>127</v>
      </c>
    </row>
    <row r="67" spans="1:8" ht="290.25">
      <c r="A67" s="50" t="s">
        <v>383</v>
      </c>
      <c r="B67" s="54" t="s">
        <v>153</v>
      </c>
      <c r="D67" s="50" t="s">
        <v>383</v>
      </c>
      <c r="E67" s="50" t="s">
        <v>61</v>
      </c>
      <c r="G67" s="50" t="s">
        <v>383</v>
      </c>
      <c r="H67" s="54" t="s">
        <v>384</v>
      </c>
    </row>
    <row r="68" spans="1:8" ht="305.25">
      <c r="A68" s="50" t="s">
        <v>387</v>
      </c>
      <c r="B68" s="54" t="s">
        <v>388</v>
      </c>
      <c r="D68" s="50" t="s">
        <v>387</v>
      </c>
      <c r="E68" s="50" t="s">
        <v>124</v>
      </c>
      <c r="G68" s="50" t="s">
        <v>387</v>
      </c>
      <c r="H68" s="54" t="s">
        <v>64</v>
      </c>
    </row>
    <row r="69" spans="1:8" ht="336">
      <c r="A69" s="50" t="s">
        <v>392</v>
      </c>
      <c r="B69" s="54" t="s">
        <v>394</v>
      </c>
      <c r="D69" s="50" t="s">
        <v>392</v>
      </c>
      <c r="E69" s="50" t="s">
        <v>124</v>
      </c>
      <c r="G69" s="50" t="s">
        <v>392</v>
      </c>
      <c r="H69" s="54" t="s">
        <v>127</v>
      </c>
    </row>
    <row r="70" spans="1:8" ht="321">
      <c r="A70" s="50" t="s">
        <v>397</v>
      </c>
      <c r="B70" s="57" t="s">
        <v>400</v>
      </c>
      <c r="D70" s="50" t="s">
        <v>397</v>
      </c>
      <c r="E70" s="50" t="s">
        <v>398</v>
      </c>
      <c r="G70" s="50" t="s">
        <v>397</v>
      </c>
      <c r="H70" s="54" t="s">
        <v>401</v>
      </c>
    </row>
    <row r="71" spans="1:8" ht="290.25">
      <c r="A71" s="50" t="s">
        <v>404</v>
      </c>
      <c r="B71" s="54" t="s">
        <v>406</v>
      </c>
      <c r="D71" s="50" t="s">
        <v>404</v>
      </c>
      <c r="E71" s="50" t="s">
        <v>124</v>
      </c>
      <c r="G71" s="50" t="s">
        <v>404</v>
      </c>
      <c r="H71" s="54" t="s">
        <v>64</v>
      </c>
    </row>
    <row r="72" spans="1:8" ht="258.75">
      <c r="A72" s="50" t="s">
        <v>408</v>
      </c>
      <c r="B72" s="54" t="s">
        <v>410</v>
      </c>
      <c r="D72" s="50" t="s">
        <v>408</v>
      </c>
      <c r="E72" s="50" t="s">
        <v>138</v>
      </c>
      <c r="G72" s="50" t="s">
        <v>408</v>
      </c>
      <c r="H72" s="54" t="s">
        <v>411</v>
      </c>
    </row>
    <row r="73" spans="1:8" ht="243.75">
      <c r="A73" s="50" t="s">
        <v>414</v>
      </c>
      <c r="B73" s="54" t="s">
        <v>416</v>
      </c>
      <c r="D73" s="50" t="s">
        <v>414</v>
      </c>
      <c r="E73" s="50" t="s">
        <v>138</v>
      </c>
      <c r="G73" s="50" t="s">
        <v>414</v>
      </c>
      <c r="H73" s="54" t="s">
        <v>417</v>
      </c>
    </row>
    <row r="74" spans="1:8" ht="319.5">
      <c r="A74" s="50" t="s">
        <v>420</v>
      </c>
      <c r="B74" s="54" t="s">
        <v>421</v>
      </c>
      <c r="D74" s="50" t="s">
        <v>420</v>
      </c>
      <c r="E74" s="50" t="s">
        <v>61</v>
      </c>
      <c r="G74" s="50" t="s">
        <v>420</v>
      </c>
      <c r="H74" s="54" t="s">
        <v>422</v>
      </c>
    </row>
    <row r="75" spans="1:8" ht="321">
      <c r="A75" s="50" t="s">
        <v>425</v>
      </c>
      <c r="B75" s="57" t="s">
        <v>427</v>
      </c>
      <c r="D75" s="50" t="s">
        <v>425</v>
      </c>
      <c r="E75" s="50" t="s">
        <v>398</v>
      </c>
      <c r="G75" s="50" t="s">
        <v>425</v>
      </c>
      <c r="H75" s="54" t="s">
        <v>428</v>
      </c>
    </row>
    <row r="76" spans="1:8" ht="336">
      <c r="A76" s="50" t="s">
        <v>431</v>
      </c>
      <c r="B76" s="54" t="s">
        <v>432</v>
      </c>
      <c r="D76" s="50" t="s">
        <v>431</v>
      </c>
      <c r="E76" s="50" t="s">
        <v>124</v>
      </c>
      <c r="G76" s="50" t="s">
        <v>431</v>
      </c>
      <c r="H76" s="54" t="s">
        <v>433</v>
      </c>
    </row>
    <row r="77" spans="1:8" ht="321">
      <c r="A77" s="50" t="s">
        <v>435</v>
      </c>
      <c r="B77" s="54" t="s">
        <v>291</v>
      </c>
      <c r="D77" s="50" t="s">
        <v>435</v>
      </c>
      <c r="E77" s="50" t="s">
        <v>124</v>
      </c>
      <c r="G77" s="50" t="s">
        <v>435</v>
      </c>
      <c r="H77" s="54" t="s">
        <v>127</v>
      </c>
    </row>
    <row r="78" spans="1:8" ht="290.25">
      <c r="A78" s="50" t="s">
        <v>438</v>
      </c>
      <c r="B78" s="54" t="s">
        <v>153</v>
      </c>
      <c r="D78" s="50" t="s">
        <v>438</v>
      </c>
      <c r="E78" s="50" t="s">
        <v>439</v>
      </c>
      <c r="G78" s="50" t="s">
        <v>438</v>
      </c>
      <c r="H78" s="54" t="s">
        <v>441</v>
      </c>
    </row>
    <row r="79" spans="1:8" ht="336">
      <c r="A79" s="50" t="s">
        <v>443</v>
      </c>
      <c r="B79" s="57" t="s">
        <v>445</v>
      </c>
      <c r="D79" s="50" t="s">
        <v>443</v>
      </c>
      <c r="E79" s="50" t="s">
        <v>138</v>
      </c>
      <c r="G79" s="50" t="s">
        <v>443</v>
      </c>
      <c r="H79" s="57" t="s">
        <v>446</v>
      </c>
    </row>
    <row r="80" spans="1:8" ht="321">
      <c r="A80" s="50" t="s">
        <v>448</v>
      </c>
      <c r="B80" s="54" t="s">
        <v>291</v>
      </c>
      <c r="D80" s="50" t="s">
        <v>448</v>
      </c>
      <c r="E80" s="50" t="s">
        <v>124</v>
      </c>
      <c r="G80" s="50" t="s">
        <v>448</v>
      </c>
      <c r="H80" s="54" t="s">
        <v>127</v>
      </c>
    </row>
    <row r="81" spans="1:8" ht="336">
      <c r="A81" s="50" t="s">
        <v>451</v>
      </c>
      <c r="B81" s="54" t="s">
        <v>453</v>
      </c>
      <c r="D81" s="50" t="s">
        <v>451</v>
      </c>
      <c r="E81" s="50" t="s">
        <v>113</v>
      </c>
      <c r="G81" s="50" t="s">
        <v>451</v>
      </c>
      <c r="H81" s="57" t="s">
        <v>454</v>
      </c>
    </row>
    <row r="82" spans="1:8" ht="336">
      <c r="A82" s="50" t="s">
        <v>456</v>
      </c>
      <c r="B82" s="54" t="s">
        <v>453</v>
      </c>
      <c r="D82" s="50" t="s">
        <v>456</v>
      </c>
      <c r="E82" s="50" t="s">
        <v>113</v>
      </c>
      <c r="G82" s="50" t="s">
        <v>456</v>
      </c>
      <c r="H82" s="57" t="s">
        <v>454</v>
      </c>
    </row>
    <row r="83" spans="1:8" ht="321">
      <c r="A83" s="50" t="s">
        <v>459</v>
      </c>
      <c r="B83" s="54" t="s">
        <v>460</v>
      </c>
      <c r="D83" s="50" t="s">
        <v>459</v>
      </c>
      <c r="E83" s="50" t="s">
        <v>124</v>
      </c>
      <c r="G83" s="50" t="s">
        <v>459</v>
      </c>
      <c r="H83" s="54" t="s">
        <v>127</v>
      </c>
    </row>
    <row r="84" spans="1:8" ht="321">
      <c r="A84" s="50" t="s">
        <v>462</v>
      </c>
      <c r="B84" s="54" t="s">
        <v>464</v>
      </c>
      <c r="D84" s="50" t="s">
        <v>462</v>
      </c>
      <c r="E84" s="50" t="s">
        <v>124</v>
      </c>
      <c r="G84" s="50" t="s">
        <v>462</v>
      </c>
      <c r="H84" s="54" t="s">
        <v>127</v>
      </c>
    </row>
    <row r="85" spans="1:8" ht="243.75">
      <c r="A85" s="50" t="s">
        <v>466</v>
      </c>
      <c r="B85" s="54" t="s">
        <v>468</v>
      </c>
      <c r="D85" s="50" t="s">
        <v>466</v>
      </c>
      <c r="E85" s="50" t="s">
        <v>138</v>
      </c>
      <c r="G85" s="50" t="s">
        <v>466</v>
      </c>
      <c r="H85" s="57" t="s">
        <v>446</v>
      </c>
    </row>
    <row r="86" spans="1:8" ht="336">
      <c r="A86" s="50" t="s">
        <v>471</v>
      </c>
      <c r="B86" s="54" t="s">
        <v>473</v>
      </c>
      <c r="D86" s="50" t="s">
        <v>471</v>
      </c>
      <c r="E86" s="50" t="s">
        <v>113</v>
      </c>
      <c r="G86" s="50" t="s">
        <v>471</v>
      </c>
      <c r="H86" s="57" t="s">
        <v>474</v>
      </c>
    </row>
    <row r="87" spans="1:8" ht="336">
      <c r="A87" s="50" t="s">
        <v>476</v>
      </c>
      <c r="B87" s="54" t="s">
        <v>478</v>
      </c>
      <c r="D87" s="50" t="s">
        <v>476</v>
      </c>
      <c r="E87" s="50" t="s">
        <v>113</v>
      </c>
      <c r="G87" s="50" t="s">
        <v>476</v>
      </c>
      <c r="H87" s="57" t="s">
        <v>479</v>
      </c>
    </row>
    <row r="88" spans="1:8" ht="351">
      <c r="A88" s="59" t="s">
        <v>481</v>
      </c>
      <c r="B88" s="61" t="s">
        <v>484</v>
      </c>
      <c r="D88" s="59" t="s">
        <v>481</v>
      </c>
      <c r="E88" s="59" t="s">
        <v>482</v>
      </c>
      <c r="G88" s="59" t="s">
        <v>481</v>
      </c>
      <c r="H88" s="61" t="s">
        <v>485</v>
      </c>
    </row>
    <row r="89" spans="1:8" ht="243.75">
      <c r="A89" s="50" t="s">
        <v>488</v>
      </c>
      <c r="B89" s="54" t="s">
        <v>468</v>
      </c>
      <c r="D89" s="50" t="s">
        <v>488</v>
      </c>
      <c r="E89" s="50" t="s">
        <v>138</v>
      </c>
      <c r="G89" s="50" t="s">
        <v>488</v>
      </c>
      <c r="H89" s="54" t="s">
        <v>489</v>
      </c>
    </row>
    <row r="90" spans="1:8" ht="243.75">
      <c r="A90" s="50" t="s">
        <v>492</v>
      </c>
      <c r="B90" s="54" t="s">
        <v>494</v>
      </c>
      <c r="D90" s="50" t="s">
        <v>492</v>
      </c>
      <c r="E90" s="50" t="s">
        <v>224</v>
      </c>
      <c r="G90" s="50" t="s">
        <v>492</v>
      </c>
      <c r="H90" s="54" t="s">
        <v>495</v>
      </c>
    </row>
    <row r="91" spans="1:8" ht="321">
      <c r="A91" s="50" t="s">
        <v>498</v>
      </c>
      <c r="B91" s="54" t="s">
        <v>460</v>
      </c>
      <c r="D91" s="50" t="s">
        <v>498</v>
      </c>
      <c r="E91" s="50" t="s">
        <v>124</v>
      </c>
      <c r="G91" s="50" t="s">
        <v>498</v>
      </c>
      <c r="H91" s="54" t="s">
        <v>127</v>
      </c>
    </row>
    <row r="92" spans="1:8" ht="290.25">
      <c r="A92" s="50" t="s">
        <v>501</v>
      </c>
      <c r="B92" s="54" t="s">
        <v>255</v>
      </c>
      <c r="D92" s="50" t="s">
        <v>501</v>
      </c>
      <c r="E92" s="50" t="s">
        <v>61</v>
      </c>
      <c r="G92" s="50" t="s">
        <v>501</v>
      </c>
      <c r="H92" s="54" t="s">
        <v>441</v>
      </c>
    </row>
    <row r="93" spans="1:8" ht="365.25">
      <c r="A93" s="50" t="s">
        <v>504</v>
      </c>
      <c r="B93" s="54" t="s">
        <v>506</v>
      </c>
      <c r="D93" s="50" t="s">
        <v>504</v>
      </c>
      <c r="E93" s="50" t="s">
        <v>113</v>
      </c>
      <c r="G93" s="50" t="s">
        <v>504</v>
      </c>
      <c r="H93" s="57" t="s">
        <v>507</v>
      </c>
    </row>
    <row r="94" spans="1:8" ht="336">
      <c r="A94" s="50" t="s">
        <v>509</v>
      </c>
      <c r="B94" s="57" t="s">
        <v>511</v>
      </c>
      <c r="D94" s="50" t="s">
        <v>509</v>
      </c>
      <c r="E94" s="50" t="s">
        <v>138</v>
      </c>
      <c r="G94" s="50" t="s">
        <v>509</v>
      </c>
      <c r="H94" s="57" t="s">
        <v>512</v>
      </c>
    </row>
    <row r="95" spans="1:8" ht="290.25">
      <c r="A95" s="50" t="s">
        <v>515</v>
      </c>
      <c r="B95" s="54" t="s">
        <v>255</v>
      </c>
      <c r="D95" s="50" t="s">
        <v>515</v>
      </c>
      <c r="E95" s="50" t="s">
        <v>61</v>
      </c>
      <c r="G95" s="50" t="s">
        <v>515</v>
      </c>
      <c r="H95" s="54" t="s">
        <v>441</v>
      </c>
    </row>
    <row r="96" spans="1:8" ht="244.5">
      <c r="A96" s="50" t="s">
        <v>518</v>
      </c>
      <c r="B96" s="54" t="s">
        <v>232</v>
      </c>
      <c r="D96" s="50" t="s">
        <v>518</v>
      </c>
      <c r="E96" s="50" t="s">
        <v>61</v>
      </c>
      <c r="G96" s="50" t="s">
        <v>518</v>
      </c>
      <c r="H96" s="54" t="s">
        <v>441</v>
      </c>
    </row>
    <row r="97" spans="1:8" ht="320.25">
      <c r="A97" s="50" t="s">
        <v>519</v>
      </c>
      <c r="B97" s="54" t="s">
        <v>521</v>
      </c>
      <c r="D97" s="50" t="s">
        <v>519</v>
      </c>
      <c r="E97" s="50" t="s">
        <v>138</v>
      </c>
      <c r="G97" s="50" t="s">
        <v>519</v>
      </c>
      <c r="H97" s="54" t="s">
        <v>522</v>
      </c>
    </row>
    <row r="98" spans="1:8" ht="320.25">
      <c r="A98" s="50" t="s">
        <v>525</v>
      </c>
      <c r="B98" s="54" t="s">
        <v>527</v>
      </c>
      <c r="D98" s="50" t="s">
        <v>525</v>
      </c>
      <c r="E98" s="50" t="s">
        <v>526</v>
      </c>
      <c r="G98" s="50" t="s">
        <v>525</v>
      </c>
      <c r="H98" s="54" t="s">
        <v>528</v>
      </c>
    </row>
    <row r="99" spans="1:8" ht="304.5">
      <c r="A99" s="50" t="s">
        <v>531</v>
      </c>
      <c r="B99" s="54" t="s">
        <v>532</v>
      </c>
      <c r="D99" s="50" t="s">
        <v>531</v>
      </c>
      <c r="E99" s="50" t="s">
        <v>526</v>
      </c>
      <c r="G99" s="50" t="s">
        <v>531</v>
      </c>
      <c r="H99" s="54" t="s">
        <v>533</v>
      </c>
    </row>
    <row r="100" spans="1:8" ht="321">
      <c r="A100" s="50" t="s">
        <v>536</v>
      </c>
      <c r="B100" s="54" t="s">
        <v>538</v>
      </c>
      <c r="D100" s="50" t="s">
        <v>536</v>
      </c>
      <c r="E100" s="50" t="s">
        <v>124</v>
      </c>
      <c r="G100" s="50" t="s">
        <v>536</v>
      </c>
      <c r="H100" s="54" t="s">
        <v>127</v>
      </c>
    </row>
    <row r="101" spans="1:8" ht="275.25">
      <c r="A101" s="50" t="s">
        <v>540</v>
      </c>
      <c r="B101" s="54" t="s">
        <v>542</v>
      </c>
      <c r="D101" s="50" t="s">
        <v>540</v>
      </c>
      <c r="E101" s="50" t="s">
        <v>61</v>
      </c>
      <c r="G101" s="50" t="s">
        <v>540</v>
      </c>
      <c r="H101" s="54" t="s">
        <v>543</v>
      </c>
    </row>
    <row r="102" spans="1:8" ht="366">
      <c r="A102" s="50" t="s">
        <v>548</v>
      </c>
      <c r="B102" s="54" t="s">
        <v>551</v>
      </c>
      <c r="D102" s="50" t="s">
        <v>548</v>
      </c>
      <c r="E102" s="50" t="s">
        <v>549</v>
      </c>
      <c r="G102" s="50" t="s">
        <v>548</v>
      </c>
      <c r="H102" s="54" t="s">
        <v>552</v>
      </c>
    </row>
    <row r="103" spans="1:8" ht="321">
      <c r="A103" s="50" t="s">
        <v>555</v>
      </c>
      <c r="B103" s="54" t="s">
        <v>556</v>
      </c>
      <c r="D103" s="50" t="s">
        <v>555</v>
      </c>
      <c r="E103" s="50" t="s">
        <v>124</v>
      </c>
      <c r="G103" s="50" t="s">
        <v>555</v>
      </c>
      <c r="H103" s="54" t="s">
        <v>557</v>
      </c>
    </row>
    <row r="104" spans="1:8" ht="336">
      <c r="A104" s="50" t="s">
        <v>560</v>
      </c>
      <c r="B104" s="54" t="s">
        <v>562</v>
      </c>
      <c r="D104" s="50" t="s">
        <v>560</v>
      </c>
      <c r="E104" s="50" t="s">
        <v>124</v>
      </c>
      <c r="G104" s="50" t="s">
        <v>560</v>
      </c>
      <c r="H104" s="54" t="s">
        <v>563</v>
      </c>
    </row>
    <row r="105" spans="1:8" ht="320.25">
      <c r="A105" s="50" t="s">
        <v>567</v>
      </c>
      <c r="B105" s="54" t="s">
        <v>569</v>
      </c>
      <c r="D105" s="50" t="s">
        <v>567</v>
      </c>
      <c r="E105" s="50" t="s">
        <v>224</v>
      </c>
      <c r="G105" s="50" t="s">
        <v>567</v>
      </c>
      <c r="H105" s="54" t="s">
        <v>570</v>
      </c>
    </row>
    <row r="106" spans="1:8" ht="366">
      <c r="A106" s="50" t="s">
        <v>573</v>
      </c>
      <c r="B106" s="54" t="s">
        <v>575</v>
      </c>
      <c r="D106" s="50" t="s">
        <v>573</v>
      </c>
      <c r="E106" s="50" t="s">
        <v>398</v>
      </c>
      <c r="G106" s="50" t="s">
        <v>573</v>
      </c>
      <c r="H106" s="54" t="s">
        <v>576</v>
      </c>
    </row>
    <row r="107" spans="1:8" ht="380.25">
      <c r="A107" s="50" t="s">
        <v>579</v>
      </c>
      <c r="B107" s="54" t="s">
        <v>581</v>
      </c>
      <c r="D107" s="50" t="s">
        <v>579</v>
      </c>
      <c r="E107" s="50" t="s">
        <v>549</v>
      </c>
      <c r="G107" s="50" t="s">
        <v>579</v>
      </c>
      <c r="H107" s="54" t="s">
        <v>582</v>
      </c>
    </row>
    <row r="108" spans="1:8" ht="335.25">
      <c r="A108" s="50" t="s">
        <v>585</v>
      </c>
      <c r="B108" s="54" t="s">
        <v>587</v>
      </c>
      <c r="D108" s="50" t="s">
        <v>585</v>
      </c>
      <c r="E108" s="50" t="s">
        <v>224</v>
      </c>
      <c r="G108" s="50" t="s">
        <v>585</v>
      </c>
      <c r="H108" s="54" t="s">
        <v>588</v>
      </c>
    </row>
    <row r="109" spans="1:8" ht="394.5">
      <c r="A109" s="50" t="s">
        <v>591</v>
      </c>
      <c r="B109" s="54" t="s">
        <v>593</v>
      </c>
      <c r="D109" s="50" t="s">
        <v>591</v>
      </c>
      <c r="E109" s="50" t="s">
        <v>398</v>
      </c>
      <c r="G109" s="50" t="s">
        <v>591</v>
      </c>
      <c r="H109" s="54" t="s">
        <v>594</v>
      </c>
    </row>
    <row r="110" spans="1:8" ht="290.25">
      <c r="A110" s="50" t="s">
        <v>597</v>
      </c>
      <c r="B110" s="54" t="s">
        <v>599</v>
      </c>
      <c r="D110" s="50" t="s">
        <v>597</v>
      </c>
      <c r="E110" s="50" t="s">
        <v>398</v>
      </c>
      <c r="G110" s="50" t="s">
        <v>597</v>
      </c>
      <c r="H110" s="54" t="s">
        <v>600</v>
      </c>
    </row>
    <row r="111" spans="1:8" ht="290.25">
      <c r="A111" s="50" t="s">
        <v>605</v>
      </c>
      <c r="B111" s="54" t="s">
        <v>608</v>
      </c>
      <c r="D111" s="50" t="s">
        <v>605</v>
      </c>
      <c r="E111" s="50" t="s">
        <v>606</v>
      </c>
      <c r="G111" s="50" t="s">
        <v>605</v>
      </c>
      <c r="H111" s="54" t="s">
        <v>609</v>
      </c>
    </row>
    <row r="112" spans="1:8" ht="307.5">
      <c r="A112" s="50" t="s">
        <v>612</v>
      </c>
      <c r="B112" s="54" t="s">
        <v>614</v>
      </c>
      <c r="D112" s="50" t="s">
        <v>612</v>
      </c>
      <c r="E112" s="50" t="s">
        <v>606</v>
      </c>
      <c r="G112" s="50" t="s">
        <v>612</v>
      </c>
      <c r="H112" s="54" t="s">
        <v>615</v>
      </c>
    </row>
    <row r="113" spans="1:8" ht="323.25">
      <c r="A113" s="50" t="s">
        <v>618</v>
      </c>
      <c r="B113" s="54" t="s">
        <v>620</v>
      </c>
      <c r="D113" s="50" t="s">
        <v>618</v>
      </c>
      <c r="E113" s="50" t="s">
        <v>606</v>
      </c>
      <c r="G113" s="50" t="s">
        <v>618</v>
      </c>
      <c r="H113" s="54" t="s">
        <v>621</v>
      </c>
    </row>
    <row r="114" spans="1:8" ht="305.25">
      <c r="A114" s="50" t="s">
        <v>624</v>
      </c>
      <c r="B114" s="54" t="s">
        <v>626</v>
      </c>
      <c r="D114" s="50" t="s">
        <v>624</v>
      </c>
      <c r="E114" s="50" t="s">
        <v>606</v>
      </c>
      <c r="G114" s="50" t="s">
        <v>624</v>
      </c>
      <c r="H114" s="54" t="s">
        <v>627</v>
      </c>
    </row>
    <row r="115" spans="1:8" ht="275.25">
      <c r="A115" s="50" t="s">
        <v>630</v>
      </c>
      <c r="B115" s="54" t="s">
        <v>632</v>
      </c>
      <c r="D115" s="50" t="s">
        <v>630</v>
      </c>
      <c r="E115" s="50" t="s">
        <v>549</v>
      </c>
      <c r="G115" s="50" t="s">
        <v>630</v>
      </c>
      <c r="H115" s="54" t="s">
        <v>633</v>
      </c>
    </row>
    <row r="116" spans="1:8" ht="320.25">
      <c r="A116" s="50" t="s">
        <v>637</v>
      </c>
      <c r="B116" s="54" t="s">
        <v>640</v>
      </c>
      <c r="D116" s="50" t="s">
        <v>637</v>
      </c>
      <c r="E116" s="50" t="s">
        <v>549</v>
      </c>
      <c r="G116" s="50" t="s">
        <v>637</v>
      </c>
      <c r="H116" s="57" t="s">
        <v>641</v>
      </c>
    </row>
    <row r="117" spans="1:8" ht="304.5">
      <c r="A117" s="50" t="s">
        <v>645</v>
      </c>
      <c r="B117" s="54" t="s">
        <v>647</v>
      </c>
      <c r="D117" s="50" t="s">
        <v>645</v>
      </c>
      <c r="E117" s="50" t="s">
        <v>549</v>
      </c>
      <c r="G117" s="50" t="s">
        <v>645</v>
      </c>
      <c r="H117" s="54" t="s">
        <v>648</v>
      </c>
    </row>
    <row r="118" spans="1:8" ht="275.25">
      <c r="A118" s="50" t="s">
        <v>651</v>
      </c>
      <c r="B118" s="54" t="s">
        <v>653</v>
      </c>
      <c r="D118" s="50" t="s">
        <v>651</v>
      </c>
      <c r="E118" s="50" t="s">
        <v>549</v>
      </c>
      <c r="G118" s="50" t="s">
        <v>651</v>
      </c>
      <c r="H118" s="54" t="s">
        <v>654</v>
      </c>
    </row>
    <row r="119" spans="1:8" ht="275.25">
      <c r="A119" s="50" t="s">
        <v>657</v>
      </c>
      <c r="B119" s="54" t="s">
        <v>659</v>
      </c>
      <c r="D119" s="50" t="s">
        <v>657</v>
      </c>
      <c r="E119" s="50" t="s">
        <v>549</v>
      </c>
      <c r="G119" s="50" t="s">
        <v>657</v>
      </c>
      <c r="H119" s="54" t="s">
        <v>660</v>
      </c>
    </row>
    <row r="120" spans="1:8" ht="304.5">
      <c r="A120" s="50" t="s">
        <v>663</v>
      </c>
      <c r="B120" s="54" t="s">
        <v>665</v>
      </c>
      <c r="D120" s="50" t="s">
        <v>663</v>
      </c>
      <c r="E120" s="50" t="s">
        <v>549</v>
      </c>
      <c r="G120" s="50" t="s">
        <v>663</v>
      </c>
      <c r="H120" s="54" t="s">
        <v>666</v>
      </c>
    </row>
    <row r="121" spans="1:8" ht="258.75">
      <c r="A121" s="50" t="s">
        <v>668</v>
      </c>
      <c r="B121" s="54" t="s">
        <v>670</v>
      </c>
      <c r="D121" s="50" t="s">
        <v>668</v>
      </c>
      <c r="E121" s="50" t="s">
        <v>606</v>
      </c>
      <c r="G121" s="50" t="s">
        <v>668</v>
      </c>
      <c r="H121" s="54" t="s">
        <v>671</v>
      </c>
    </row>
    <row r="122" spans="1:8" ht="306">
      <c r="A122" s="50" t="s">
        <v>673</v>
      </c>
      <c r="B122" s="54" t="s">
        <v>675</v>
      </c>
      <c r="D122" s="50" t="s">
        <v>673</v>
      </c>
      <c r="E122" s="50" t="s">
        <v>549</v>
      </c>
      <c r="G122" s="50" t="s">
        <v>673</v>
      </c>
      <c r="H122" s="54" t="s">
        <v>676</v>
      </c>
    </row>
    <row r="123" spans="1:8" ht="321">
      <c r="A123" s="50" t="s">
        <v>679</v>
      </c>
      <c r="B123" s="54" t="s">
        <v>681</v>
      </c>
      <c r="D123" s="50" t="s">
        <v>679</v>
      </c>
      <c r="E123" s="50" t="s">
        <v>398</v>
      </c>
      <c r="G123" s="50" t="s">
        <v>679</v>
      </c>
      <c r="H123" s="54" t="s">
        <v>682</v>
      </c>
    </row>
    <row r="124" spans="1:8" ht="275.25">
      <c r="A124" s="50" t="s">
        <v>685</v>
      </c>
      <c r="B124" s="54" t="s">
        <v>687</v>
      </c>
      <c r="D124" s="50" t="s">
        <v>685</v>
      </c>
      <c r="E124" s="50" t="s">
        <v>549</v>
      </c>
      <c r="G124" s="50" t="s">
        <v>685</v>
      </c>
      <c r="H124" s="54" t="s">
        <v>688</v>
      </c>
    </row>
    <row r="125" spans="1:8" ht="305.25">
      <c r="A125" s="50" t="s">
        <v>691</v>
      </c>
      <c r="B125" s="66" t="s">
        <v>693</v>
      </c>
      <c r="D125" s="50" t="s">
        <v>691</v>
      </c>
      <c r="E125" s="50" t="s">
        <v>606</v>
      </c>
      <c r="G125" s="50" t="s">
        <v>691</v>
      </c>
      <c r="H125" s="66" t="s">
        <v>694</v>
      </c>
    </row>
    <row r="126" spans="1:8" ht="260.25">
      <c r="A126" s="50" t="s">
        <v>696</v>
      </c>
      <c r="B126" s="57" t="s">
        <v>699</v>
      </c>
      <c r="D126" s="50" t="s">
        <v>696</v>
      </c>
      <c r="E126" s="50" t="s">
        <v>549</v>
      </c>
      <c r="G126" s="50" t="s">
        <v>696</v>
      </c>
      <c r="H126" s="66" t="s">
        <v>700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09CD5BEA7F994EBE2E887B6E90C7F6" ma:contentTypeVersion="15" ma:contentTypeDescription="Crear nuevo documento." ma:contentTypeScope="" ma:versionID="0e832dbc7a446f46807202496c212ce6">
  <xsd:schema xmlns:xsd="http://www.w3.org/2001/XMLSchema" xmlns:xs="http://www.w3.org/2001/XMLSchema" xmlns:p="http://schemas.microsoft.com/office/2006/metadata/properties" xmlns:ns2="c5f7e7fe-07e6-4805-8105-824f9907cc10" xmlns:ns3="9c055f6f-d682-46e7-b8e3-82fc36ca4910" targetNamespace="http://schemas.microsoft.com/office/2006/metadata/properties" ma:root="true" ma:fieldsID="38b38dfdb7feb9f50946e198bd1adca4" ns2:_="" ns3:_="">
    <xsd:import namespace="c5f7e7fe-07e6-4805-8105-824f9907cc10"/>
    <xsd:import namespace="9c055f6f-d682-46e7-b8e3-82fc36ca491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7e7fe-07e6-4805-8105-824f9907cc1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e4372df-1e8c-4955-a3b4-35ea1b38e52e}" ma:internalName="TaxCatchAll" ma:showField="CatchAllData" ma:web="c5f7e7fe-07e6-4805-8105-824f9907cc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55f6f-d682-46e7-b8e3-82fc36ca49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a920a594-e67d-43fd-8f87-4108c5d45f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145FD2-E0D6-4EE3-8C1C-8C7DCC9663E7}"/>
</file>

<file path=customXml/itemProps2.xml><?xml version="1.0" encoding="utf-8"?>
<ds:datastoreItem xmlns:ds="http://schemas.openxmlformats.org/officeDocument/2006/customXml" ds:itemID="{2A0D7E22-DC39-424B-89BD-1BD8115918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WORK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RADA ZAPATA</dc:creator>
  <cp:keywords/>
  <dc:description/>
  <cp:lastModifiedBy/>
  <cp:revision/>
  <dcterms:created xsi:type="dcterms:W3CDTF">2023-09-14T19:31:17Z</dcterms:created>
  <dcterms:modified xsi:type="dcterms:W3CDTF">2026-06-18T19:04:52Z</dcterms:modified>
  <cp:category/>
  <cp:contentStatus/>
</cp:coreProperties>
</file>